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50af3333b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5 AOP FROZEN" sheetId="1" r:id="R18e764e674de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-yy"/>
    <x:numFmt numFmtId="201" formatCode="#,##0.0;[Red](#,##0.0);-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00175A"/>
      <x:name val="Carlito"/>
    </x:font>
    <x:font>
      <x:i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175A"/>
      </x:patternFill>
    </x:fill>
    <x:fill>
      <x:patternFill patternType="solid">
        <x:fgColor rgb="FFF3F8FD"/>
      </x:patternFill>
    </x:fill>
    <x:fill>
      <x:patternFill patternType="solid">
        <x:fgColor rgb="FF006FCF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double">
        <x:color rgb="FF00175A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015cbd8c3474f" /><Relationship Type="http://schemas.openxmlformats.org/officeDocument/2006/relationships/theme" Target="/xl/theme/theme1.xml" Id="Rcabf2ff4e5e84c21" /><Relationship Type="http://schemas.openxmlformats.org/officeDocument/2006/relationships/sharedStrings" Target="/xl/sharedStrings.xml" Id="R674f6893ced94a3d" /><Relationship Type="http://schemas.openxmlformats.org/officeDocument/2006/relationships/worksheet" Target="/xl/worksheets/sheet1.xml" Id="R18e764e674de4b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3" t="str">
        <x:v>2025 Annual Operating Plan: Frozen Snapshot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Frozen on January 24, 2025. FY2025 actual results are excluded.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12" t="str">
        <x:v>Metric</x:v>
      </x:c>
      <x:c r="B4" s="13" t="n">
        <x:v>45658</x:v>
      </x:c>
      <x:c r="C4" s="13" t="n">
        <x:v>45689</x:v>
      </x:c>
      <x:c r="D4" s="13" t="n">
        <x:v>45717</x:v>
      </x:c>
      <x:c r="E4" s="13" t="n">
        <x:v>45748</x:v>
      </x:c>
      <x:c r="F4" s="13" t="n">
        <x:v>45778</x:v>
      </x:c>
      <x:c r="G4" s="13" t="n">
        <x:v>45809</x:v>
      </x:c>
      <x:c r="H4" s="13" t="n">
        <x:v>45839</x:v>
      </x:c>
      <x:c r="I4" s="13" t="n">
        <x:v>45870</x:v>
      </x:c>
      <x:c r="J4" s="13" t="n">
        <x:v>45901</x:v>
      </x:c>
      <x:c r="K4" s="13" t="n">
        <x:v>45931</x:v>
      </x:c>
      <x:c r="L4" s="13" t="n">
        <x:v>45962</x:v>
      </x:c>
      <x:c r="M4" s="13" t="n">
        <x:v>45992</x:v>
      </x:c>
      <x:c r="N4" s="12" t="str">
        <x:v>FY</x:v>
      </x:c>
    </x:row>
    <x:row r="5">
      <x:c r="A5" s="15" t="str">
        <x:v>Billed Business ($B)</x:v>
      </x:c>
      <x:c r="B5" s="16" t="n">
        <x:v>53.263628</x:v>
      </x:c>
      <x:c r="C5" s="16" t="n">
        <x:v>51.59914</x:v>
      </x:c>
      <x:c r="D5" s="16" t="n">
        <x:v>61.586071</x:v>
      </x:c>
      <x:c r="E5" s="16" t="n">
        <x:v>59.11755</x:v>
      </x:c>
      <x:c r="F5" s="16" t="n">
        <x:v>59.11755</x:v>
      </x:c>
      <x:c r="G5" s="16" t="n">
        <x:v>60.90899</x:v>
      </x:c>
      <x:c r="H5" s="16" t="n">
        <x:v>56.353891</x:v>
      </x:c>
      <x:c r="I5" s="16" t="n">
        <x:v>58.11495</x:v>
      </x:c>
      <x:c r="J5" s="16" t="n">
        <x:v>61.637069</x:v>
      </x:c>
      <x:c r="K5" s="16" t="n">
        <x:v>56.640348</x:v>
      </x:c>
      <x:c r="L5" s="16" t="n">
        <x:v>58.52836</x:v>
      </x:c>
      <x:c r="M5" s="16" t="n">
        <x:v>73.632453</x:v>
      </x:c>
      <x:c r="N5" s="16" t="n">
        <x:f>SUM(B5:M5)</x:f>
        <x:v>710.5</x:v>
      </x:c>
    </x:row>
    <x:row r="6">
      <x:c r="A6" s="15" t="str">
        <x:v>Non-interest revenue</x:v>
      </x:c>
      <x:c r="B6" s="16" t="n">
        <x:v>1670.005264</x:v>
      </x:c>
      <x:c r="C6" s="16" t="n">
        <x:v>1617.817599</x:v>
      </x:c>
      <x:c r="D6" s="16" t="n">
        <x:v>1930.943587</x:v>
      </x:c>
      <x:c r="E6" s="16" t="n">
        <x:v>1817.227914</x:v>
      </x:c>
      <x:c r="F6" s="16" t="n">
        <x:v>1817.227914</x:v>
      </x:c>
      <x:c r="G6" s="16" t="n">
        <x:v>1872.295426</x:v>
      </x:c>
      <x:c r="H6" s="16" t="n">
        <x:v>1761.810002</x:v>
      </x:c>
      <x:c r="I6" s="16" t="n">
        <x:v>1816.866564</x:v>
      </x:c>
      <x:c r="J6" s="16" t="n">
        <x:v>1926.979689</x:v>
      </x:c>
      <x:c r="K6" s="16" t="n">
        <x:v>1745.647812</x:v>
      </x:c>
      <x:c r="L6" s="16" t="n">
        <x:v>1803.836073</x:v>
      </x:c>
      <x:c r="M6" s="16" t="n">
        <x:v>2269.342156</x:v>
      </x:c>
      <x:c r="N6" s="16" t="n">
        <x:f>SUM(B6:M6)</x:f>
        <x:v>22050</x:v>
      </x:c>
    </x:row>
    <x:row r="7">
      <x:c r="A7" s="17" t="str">
        <x:v>Net interest income</x:v>
      </x:c>
      <x:c r="B7" s="18" t="n">
        <x:v>962.016</x:v>
      </x:c>
      <x:c r="C7" s="18" t="n">
        <x:v>931.953</x:v>
      </x:c>
      <x:c r="D7" s="18" t="n">
        <x:v>1112.331</x:v>
      </x:c>
      <x:c r="E7" s="18" t="n">
        <x:v>981.189</x:v>
      </x:c>
      <x:c r="F7" s="18" t="n">
        <x:v>981.189</x:v>
      </x:c>
      <x:c r="G7" s="18" t="n">
        <x:v>1010.922</x:v>
      </x:c>
      <x:c r="H7" s="18" t="n">
        <x:v>1026.432</x:v>
      </x:c>
      <x:c r="I7" s="18" t="n">
        <x:v>1058.508</x:v>
      </x:c>
      <x:c r="J7" s="18" t="n">
        <x:v>1122.66</x:v>
      </x:c>
      <x:c r="K7" s="18" t="n">
        <x:v>969.54</x:v>
      </x:c>
      <x:c r="L7" s="18" t="n">
        <x:v>1001.858</x:v>
      </x:c>
      <x:c r="M7" s="18" t="n">
        <x:v>1260.402</x:v>
      </x:c>
      <x:c r="N7" s="18" t="n">
        <x:f>SUM(B7:M7)</x:f>
        <x:v>12419.000000000002</x:v>
      </x:c>
    </x:row>
    <x:row r="8">
      <x:c r="A8" s="15" t="str">
        <x:v>Total revenue net of interest expense</x:v>
      </x:c>
      <x:c r="B8" s="16" t="n">
        <x:v>2631.958823</x:v>
      </x:c>
      <x:c r="C8" s="16" t="n">
        <x:v>2549.71011</x:v>
      </x:c>
      <x:c r="D8" s="16" t="n">
        <x:v>3043.202388</x:v>
      </x:c>
      <x:c r="E8" s="16" t="n">
        <x:v>2798.540161</x:v>
      </x:c>
      <x:c r="F8" s="16" t="n">
        <x:v>2798.540161</x:v>
      </x:c>
      <x:c r="G8" s="16" t="n">
        <x:v>2883.344408</x:v>
      </x:c>
      <x:c r="H8" s="16" t="n">
        <x:v>2788.142537</x:v>
      </x:c>
      <x:c r="I8" s="16" t="n">
        <x:v>2875.271992</x:v>
      </x:c>
      <x:c r="J8" s="16" t="n">
        <x:v>3049.5309</x:v>
      </x:c>
      <x:c r="K8" s="16" t="n">
        <x:v>2715.227556</x:v>
      </x:c>
      <x:c r="L8" s="16" t="n">
        <x:v>2805.735141</x:v>
      </x:c>
      <x:c r="M8" s="16" t="n">
        <x:v>3529.795823</x:v>
      </x:c>
      <x:c r="N8" s="16" t="n">
        <x:f>SUM(B8:M8)</x:f>
        <x:v>34469</x:v>
      </x:c>
    </x:row>
    <x:row r="9">
      <x:c r="A9" s="15" t="str">
        <x:v>Provision for credit losses</x:v>
      </x:c>
      <x:c r="B9" s="16" t="n">
        <x:v>238.0931</x:v>
      </x:c>
      <x:c r="C9" s="16" t="n">
        <x:v>230.652691</x:v>
      </x:c>
      <x:c r="D9" s="16" t="n">
        <x:v>275.295147</x:v>
      </x:c>
      <x:c r="E9" s="16" t="n">
        <x:v>238.44107</x:v>
      </x:c>
      <x:c r="F9" s="16" t="n">
        <x:v>238.44107</x:v>
      </x:c>
      <x:c r="G9" s="16" t="n">
        <x:v>245.666556</x:v>
      </x:c>
      <x:c r="H9" s="16" t="n">
        <x:v>265.93067</x:v>
      </x:c>
      <x:c r="I9" s="16" t="n">
        <x:v>274.241004</x:v>
      </x:c>
      <x:c r="J9" s="16" t="n">
        <x:v>290.86167</x:v>
      </x:c>
      <x:c r="K9" s="16" t="n">
        <x:v>240.713107</x:v>
      </x:c>
      <x:c r="L9" s="16" t="n">
        <x:v>248.736877</x:v>
      </x:c>
      <x:c r="M9" s="16" t="n">
        <x:v>312.927038</x:v>
      </x:c>
      <x:c r="N9" s="16" t="n">
        <x:f>SUM(B9:M9)</x:f>
        <x:v>3099.9999999999995</x:v>
      </x:c>
    </x:row>
    <x:row r="10">
      <x:c r="A10" s="15" t="str">
        <x:v>Rewards, business development &amp; services</x:v>
      </x:c>
      <x:c r="B10" s="16" t="n">
        <x:v>1197.418177</x:v>
      </x:c>
      <x:c r="C10" s="16" t="n">
        <x:v>1159.998859</x:v>
      </x:c>
      <x:c r="D10" s="16" t="n">
        <x:v>1384.514767</x:v>
      </x:c>
      <x:c r="E10" s="16" t="n">
        <x:v>1319.833759</x:v>
      </x:c>
      <x:c r="F10" s="16" t="n">
        <x:v>1319.833759</x:v>
      </x:c>
      <x:c r="G10" s="16" t="n">
        <x:v>1359.82872</x:v>
      </x:c>
      <x:c r="H10" s="16" t="n">
        <x:v>1273.77321</x:v>
      </x:c>
      <x:c r="I10" s="16" t="n">
        <x:v>1313.578622</x:v>
      </x:c>
      <x:c r="J10" s="16" t="n">
        <x:v>1393.189448</x:v>
      </x:c>
      <x:c r="K10" s="16" t="n">
        <x:v>1276.449204</x:v>
      </x:c>
      <x:c r="L10" s="16" t="n">
        <x:v>1318.99751</x:v>
      </x:c>
      <x:c r="M10" s="16" t="n">
        <x:v>1659.383965</x:v>
      </x:c>
      <x:c r="N10" s="16" t="n">
        <x:f>SUM(B10:M10)</x:f>
        <x:v>15976.8</x:v>
      </x:c>
    </x:row>
    <x:row r="11">
      <x:c r="A11" s="15" t="str">
        <x:v>Marketing</x:v>
      </x:c>
      <x:c r="B11" s="16" t="n">
        <x:v>239.808063</x:v>
      </x:c>
      <x:c r="C11" s="16" t="n">
        <x:v>232.314061</x:v>
      </x:c>
      <x:c r="D11" s="16" t="n">
        <x:v>277.278073</x:v>
      </x:c>
      <x:c r="E11" s="16" t="n">
        <x:v>262.779941</x:v>
      </x:c>
      <x:c r="F11" s="16" t="n">
        <x:v>262.779941</x:v>
      </x:c>
      <x:c r="G11" s="16" t="n">
        <x:v>270.74297</x:v>
      </x:c>
      <x:c r="H11" s="16" t="n">
        <x:v>251.815143</x:v>
      </x:c>
      <x:c r="I11" s="16" t="n">
        <x:v>259.684366</x:v>
      </x:c>
      <x:c r="J11" s="16" t="n">
        <x:v>275.422812</x:v>
      </x:c>
      <x:c r="K11" s="16" t="n">
        <x:v>254.212389</x:v>
      </x:c>
      <x:c r="L11" s="16" t="n">
        <x:v>262.686135</x:v>
      </x:c>
      <x:c r="M11" s="16" t="n">
        <x:v>330.476106</x:v>
      </x:c>
      <x:c r="N11" s="16" t="n">
        <x:f>SUM(B11:M11)</x:f>
        <x:v>3179.9999999999995</x:v>
      </x:c>
    </x:row>
    <x:row r="12">
      <x:c r="A12" s="15" t="str">
        <x:v>Salaries, benefits &amp; other OpEx</x:v>
      </x:c>
      <x:c r="B12" s="16" t="n">
        <x:v>374.631895</x:v>
      </x:c>
      <x:c r="C12" s="16" t="n">
        <x:v>362.924648</x:v>
      </x:c>
      <x:c r="D12" s="16" t="n">
        <x:v>433.168128</x:v>
      </x:c>
      <x:c r="E12" s="16" t="n">
        <x:v>397.387586</x:v>
      </x:c>
      <x:c r="F12" s="16" t="n">
        <x:v>397.387586</x:v>
      </x:c>
      <x:c r="G12" s="16" t="n">
        <x:v>409.429633</x:v>
      </x:c>
      <x:c r="H12" s="16" t="n">
        <x:v>396.750383</x:v>
      </x:c>
      <x:c r="I12" s="16" t="n">
        <x:v>409.148833</x:v>
      </x:c>
      <x:c r="J12" s="16" t="n">
        <x:v>433.945731</x:v>
      </x:c>
      <x:c r="K12" s="16" t="n">
        <x:v>419.257673</x:v>
      </x:c>
      <x:c r="L12" s="16" t="n">
        <x:v>433.232929</x:v>
      </x:c>
      <x:c r="M12" s="16" t="n">
        <x:v>545.034975</x:v>
      </x:c>
      <x:c r="N12" s="16" t="n">
        <x:f>SUM(B12:M12)</x:f>
        <x:v>5012.300000000001</x:v>
      </x:c>
    </x:row>
    <x:row r="13">
      <x:c r="A13" s="17" t="str">
        <x:v>Total expenses</x:v>
      </x:c>
      <x:c r="B13" s="18" t="n">
        <x:v>1811.919704</x:v>
      </x:c>
      <x:c r="C13" s="18" t="n">
        <x:v>1755.297214</x:v>
      </x:c>
      <x:c r="D13" s="18" t="n">
        <x:v>2095.032158</x:v>
      </x:c>
      <x:c r="E13" s="18" t="n">
        <x:v>1979.734762</x:v>
      </x:c>
      <x:c r="F13" s="18" t="n">
        <x:v>1979.734762</x:v>
      </x:c>
      <x:c r="G13" s="18" t="n">
        <x:v>2039.726725</x:v>
      </x:c>
      <x:c r="H13" s="18" t="n">
        <x:v>1922.201307</x:v>
      </x:c>
      <x:c r="I13" s="18" t="n">
        <x:v>1982.270098</x:v>
      </x:c>
      <x:c r="J13" s="18" t="n">
        <x:v>2102.407679</x:v>
      </x:c>
      <x:c r="K13" s="18" t="n">
        <x:v>1950.232677</x:v>
      </x:c>
      <x:c r="L13" s="18" t="n">
        <x:v>2015.240433</x:v>
      </x:c>
      <x:c r="M13" s="18" t="n">
        <x:v>2535.302481</x:v>
      </x:c>
      <x:c r="N13" s="18" t="n">
        <x:f>SUM(B13:M13)</x:f>
        <x:v>24169.1</x:v>
      </x:c>
    </x:row>
    <x:row r="14">
      <x:c r="A14" s="19" t="str">
        <x:v>Pretax segment income</x:v>
      </x:c>
      <x:c r="B14" s="20" t="n">
        <x:v>582.766251</x:v>
      </x:c>
      <x:c r="C14" s="20" t="n">
        <x:v>564.554806</x:v>
      </x:c>
      <x:c r="D14" s="20" t="n">
        <x:v>673.823478</x:v>
      </x:c>
      <x:c r="E14" s="20" t="n">
        <x:v>581.230754</x:v>
      </x:c>
      <x:c r="F14" s="20" t="n">
        <x:v>581.230754</x:v>
      </x:c>
      <x:c r="G14" s="20" t="n">
        <x:v>598.843808</x:v>
      </x:c>
      <x:c r="H14" s="20" t="n">
        <x:v>599.385748</x:v>
      </x:c>
      <x:c r="I14" s="20" t="n">
        <x:v>618.116552</x:v>
      </x:c>
      <x:c r="J14" s="20" t="n">
        <x:v>655.578161</x:v>
      </x:c>
      <x:c r="K14" s="20" t="n">
        <x:v>523.310906</x:v>
      </x:c>
      <x:c r="L14" s="20" t="n">
        <x:v>540.754603</x:v>
      </x:c>
      <x:c r="M14" s="20" t="n">
        <x:v>680.304179</x:v>
      </x:c>
      <x:c r="N14" s="20" t="n">
        <x:f>SUM(B14:M14)</x:f>
        <x:v>7199.9</x:v>
      </x:c>
    </x:row>
    <x:row r="17">
      <x:c r="A17" s="24" t="str">
        <x:v>Monthly values allocate the annual plan using FY2024 seasonality and assumptions available on the cutoff date.</x:v>
      </x:c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</x:sheetData>
  <x:mergeCells>
    <x:mergeCell ref="A1:N1"/>
    <x:mergeCell ref="A2:N2"/>
    <x:mergeCell ref="A17:N19"/>
  </x:mergeCells>
  <x:pageMargins left="0.7" right="0.7" top="0.75" bottom="0.75" header="0.3" footer="0.3"/>
</x:worksheet>
</file>
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a606a1fb7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580955a0c2145ce"/>
    <x:sheet xmlns:r="http://schemas.openxmlformats.org/officeDocument/2006/relationships" name="Executive Summary" sheetId="2" r:id="Rfc8c924512a24025"/>
    <x:sheet xmlns:r="http://schemas.openxmlformats.org/officeDocument/2006/relationships" name="Source Map" sheetId="3" r:id="Rb92a614ad2bb4b09"/>
    <x:sheet xmlns:r="http://schemas.openxmlformats.org/officeDocument/2006/relationships" name="Assumptions" sheetId="4" r:id="Ra4b711e8cd13425c"/>
    <x:sheet xmlns:r="http://schemas.openxmlformats.org/officeDocument/2006/relationships" name="2025 AOP" sheetId="5" r:id="R603c7b65d06044fa"/>
    <x:sheet xmlns:r="http://schemas.openxmlformats.org/officeDocument/2006/relationships" name="2025 Actual" sheetId="6" r:id="R1ec5dbacd1ab4e40"/>
    <x:sheet xmlns:r="http://schemas.openxmlformats.org/officeDocument/2006/relationships" name="AOP vs Actual" sheetId="7" r:id="R13d92b9930494eb6"/>
    <x:sheet xmlns:r="http://schemas.openxmlformats.org/officeDocument/2006/relationships" name="2026 Forecast" sheetId="8" r:id="Re79b21e54aad4b2a"/>
    <x:sheet xmlns:r="http://schemas.openxmlformats.org/officeDocument/2006/relationships" name="Revenue Drivers" sheetId="9" r:id="Rf7001858f0e442bd"/>
    <x:sheet xmlns:r="http://schemas.openxmlformats.org/officeDocument/2006/relationships" name="Billed Business" sheetId="10" r:id="R50cf711ef2f54899"/>
    <x:sheet xmlns:r="http://schemas.openxmlformats.org/officeDocument/2006/relationships" name="Lending &amp; NII" sheetId="11" r:id="R492d6de64bc5403d"/>
    <x:sheet xmlns:r="http://schemas.openxmlformats.org/officeDocument/2006/relationships" name="Credit" sheetId="12" r:id="R19eb0b652d264b97"/>
    <x:sheet xmlns:r="http://schemas.openxmlformats.org/officeDocument/2006/relationships" name="Rewards &amp; Benefits" sheetId="13" r:id="R4f13a21a73a64103"/>
    <x:sheet xmlns:r="http://schemas.openxmlformats.org/officeDocument/2006/relationships" name="Marketing" sheetId="14" r:id="R9269ecac814741ee"/>
    <x:sheet xmlns:r="http://schemas.openxmlformats.org/officeDocument/2006/relationships" name="Acquisition ROI" sheetId="15" r:id="R099e36576cea448d"/>
    <x:sheet xmlns:r="http://schemas.openxmlformats.org/officeDocument/2006/relationships" name="Headcount" sheetId="16" r:id="R8ecba35a1ba34ecd"/>
    <x:sheet xmlns:r="http://schemas.openxmlformats.org/officeDocument/2006/relationships" name="OpEx" sheetId="17" r:id="R667bdb3079494c67"/>
    <x:sheet xmlns:r="http://schemas.openxmlformats.org/officeDocument/2006/relationships" name="Cost Centers" sheetId="18" r:id="R1a32392a2b2e4e69"/>
    <x:sheet xmlns:r="http://schemas.openxmlformats.org/officeDocument/2006/relationships" name="Variance Bridges" sheetId="19" r:id="R8e6e1ccf438c4c2a"/>
    <x:sheet xmlns:r="http://schemas.openxmlformats.org/officeDocument/2006/relationships" name="Scenarios" sheetId="20" r:id="Rd014ca60d6c64a1b"/>
    <x:sheet xmlns:r="http://schemas.openxmlformats.org/officeDocument/2006/relationships" name="Risks &amp; Opportunities" sheetId="21" r:id="R11145b6acfc44f57"/>
    <x:sheet xmlns:r="http://schemas.openxmlformats.org/officeDocument/2006/relationships" name="KPIs" sheetId="22" r:id="Rda008586304a49d4"/>
    <x:sheet xmlns:r="http://schemas.openxmlformats.org/officeDocument/2006/relationships" name="Validation" sheetId="23" r:id="Rc2304a049bd1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;[Red](#,##0.0);-"/>
    <x:numFmt numFmtId="201" formatCode="0.0%;[Red](0.0%);-"/>
    <x:numFmt numFmtId="202" formatCode="0.0%"/>
    <x:numFmt numFmtId="203" formatCode="mm/dd/yy"/>
    <x:numFmt numFmtId="204" formatCode="mmm-yy"/>
    <x:numFmt numFmtId="205" formatCode="#,##0.0"/>
    <x:numFmt numFmtId="206" formatCode="0.00%"/>
    <x:numFmt numFmtId="207" formatCode="#,##0"/>
    <x:numFmt numFmtId="208" formatCode="$#,##0"/>
    <x:numFmt numFmtId="209" formatCode="0.00x"/>
    <x:numFmt numFmtId="210" formatCode="0.0"/>
    <x:numFmt numFmtId="211" formatCode="0"/>
    <x:numFmt numFmtId="212" formatCode="0%"/>
  </x:numFmts>
  <x:fonts count="9">
    <x:font>
      <x:sz val="11"/>
      <x:name val="Carlito"/>
    </x:font>
    <x:font>
      <x:b/>
      <x:sz val="26"/>
      <x:color rgb="FFFFFFFF"/>
      <x:name val="Carlito"/>
    </x:font>
    <x:font>
      <x:b/>
      <x:sz val="18"/>
      <x:color rgb="FF006FCF"/>
      <x:name val="Carlito"/>
    </x:font>
    <x:font>
      <x:b/>
      <x:sz val="11"/>
      <x:color rgb="FF00175A"/>
      <x:name val="Carlito"/>
    </x:font>
    <x:font>
      <x:i/>
      <x:sz val="11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0175A"/>
      </x:patternFill>
    </x:fill>
    <x:fill>
      <x:patternFill patternType="solid">
        <x:fgColor rgb="FFD9ECFF"/>
      </x:patternFill>
    </x:fill>
    <x:fill>
      <x:patternFill patternType="solid">
        <x:fgColor rgb="FFFFF2CC"/>
      </x:patternFill>
    </x:fill>
    <x:fill>
      <x:patternFill patternType="solid">
        <x:fgColor rgb="FFF3F8FD"/>
      </x:patternFill>
    </x:fill>
    <x:fill>
      <x:patternFill patternType="solid">
        <x:fgColor rgb="FF006FCF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double">
        <x:color rgb="FF00175A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/>
    </x:xf>
    <x:xf numFmtId="202" fontId="0" fillId="4" borderId="1" xfId="0" applyNumberFormat="1" applyFont="1" applyFill="1" applyBorder="1" applyAlignment="1">
      <x:alignment vertical="center"/>
    </x:xf>
    <x:xf numFmtId="203" fontId="0" fillId="4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7" fillId="6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7" fontId="0" fillId="0" borderId="1" xfId="0" applyNumberFormat="1" applyFont="1" applyFill="1" applyBorder="1" applyAlignment="1">
      <x:alignment vertical="center"/>
    </x:xf>
    <x:xf numFmtId="208" fontId="0" fillId="0" borderId="1" xfId="0" applyNumberFormat="1" applyFont="1" applyFill="1" applyBorder="1" applyAlignment="1">
      <x:alignment vertical="center"/>
    </x:xf>
    <x:xf numFmtId="209" fontId="0" fillId="0" borderId="1" xfId="0" applyNumberFormat="1" applyFont="1" applyFill="1" applyBorder="1" applyAlignment="1">
      <x:alignment vertical="center"/>
    </x:xf>
    <x:xf numFmtId="210" fontId="0" fillId="0" borderId="1" xfId="0" applyNumberFormat="1" applyFont="1" applyFill="1" applyBorder="1" applyAlignment="1">
      <x:alignment vertical="center"/>
    </x:xf>
    <x:xf numFmtId="211" fontId="0" fillId="0" borderId="1" xfId="0" applyNumberFormat="1" applyFont="1" applyFill="1" applyBorder="1" applyAlignment="1">
      <x:alignment vertical="center"/>
    </x:xf>
    <x:xf numFmtId="212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f1e60649142d3" /><Relationship Type="http://schemas.openxmlformats.org/officeDocument/2006/relationships/theme" Target="/xl/theme/theme1.xml" Id="R2ecbd23611014e3e" /><Relationship Type="http://schemas.openxmlformats.org/officeDocument/2006/relationships/sharedStrings" Target="/xl/sharedStrings.xml" Id="Rec6575e4c8fb492f" /><Relationship Type="http://schemas.openxmlformats.org/officeDocument/2006/relationships/worksheet" Target="/xl/worksheets/sheet1.xml" Id="R9580955a0c2145ce" /><Relationship Type="http://schemas.openxmlformats.org/officeDocument/2006/relationships/worksheet" Target="/xl/worksheets/sheet2.xml" Id="Rfc8c924512a24025" /><Relationship Type="http://schemas.openxmlformats.org/officeDocument/2006/relationships/worksheet" Target="/xl/worksheets/sheet3.xml" Id="Rb92a614ad2bb4b09" /><Relationship Type="http://schemas.openxmlformats.org/officeDocument/2006/relationships/worksheet" Target="/xl/worksheets/sheet4.xml" Id="Ra4b711e8cd13425c" /><Relationship Type="http://schemas.openxmlformats.org/officeDocument/2006/relationships/worksheet" Target="/xl/worksheets/sheet5.xml" Id="R603c7b65d06044fa" /><Relationship Type="http://schemas.openxmlformats.org/officeDocument/2006/relationships/worksheet" Target="/xl/worksheets/sheet6.xml" Id="R1ec5dbacd1ab4e40" /><Relationship Type="http://schemas.openxmlformats.org/officeDocument/2006/relationships/worksheet" Target="/xl/worksheets/sheet7.xml" Id="R13d92b9930494eb6" /><Relationship Type="http://schemas.openxmlformats.org/officeDocument/2006/relationships/worksheet" Target="/xl/worksheets/sheet8.xml" Id="Re79b21e54aad4b2a" /><Relationship Type="http://schemas.openxmlformats.org/officeDocument/2006/relationships/worksheet" Target="/xl/worksheets/sheet9.xml" Id="Rf7001858f0e442bd" /><Relationship Type="http://schemas.openxmlformats.org/officeDocument/2006/relationships/worksheet" Target="/xl/worksheets/sheet10.xml" Id="R50cf711ef2f54899" /><Relationship Type="http://schemas.openxmlformats.org/officeDocument/2006/relationships/worksheet" Target="/xl/worksheets/sheet11.xml" Id="R492d6de64bc5403d" /><Relationship Type="http://schemas.openxmlformats.org/officeDocument/2006/relationships/worksheet" Target="/xl/worksheets/sheet12.xml" Id="R19eb0b652d264b97" /><Relationship Type="http://schemas.openxmlformats.org/officeDocument/2006/relationships/worksheet" Target="/xl/worksheets/sheet13.xml" Id="R4f13a21a73a64103" /><Relationship Type="http://schemas.openxmlformats.org/officeDocument/2006/relationships/worksheet" Target="/xl/worksheets/sheet14.xml" Id="R9269ecac814741ee" /><Relationship Type="http://schemas.openxmlformats.org/officeDocument/2006/relationships/worksheet" Target="/xl/worksheets/sheet15.xml" Id="R099e36576cea448d" /><Relationship Type="http://schemas.openxmlformats.org/officeDocument/2006/relationships/worksheet" Target="/xl/worksheets/sheet16.xml" Id="R8ecba35a1ba34ecd" /><Relationship Type="http://schemas.openxmlformats.org/officeDocument/2006/relationships/worksheet" Target="/xl/worksheets/sheet17.xml" Id="R667bdb3079494c67" /><Relationship Type="http://schemas.openxmlformats.org/officeDocument/2006/relationships/worksheet" Target="/xl/worksheets/sheet18.xml" Id="R1a32392a2b2e4e69" /><Relationship Type="http://schemas.openxmlformats.org/officeDocument/2006/relationships/worksheet" Target="/xl/worksheets/sheet19.xml" Id="R8e6e1ccf438c4c2a" /><Relationship Type="http://schemas.openxmlformats.org/officeDocument/2006/relationships/worksheet" Target="/xl/worksheets/sheet20.xml" Id="Rd014ca60d6c64a1b" /><Relationship Type="http://schemas.openxmlformats.org/officeDocument/2006/relationships/worksheet" Target="/xl/worksheets/sheet21.xml" Id="R11145b6acfc44f57" /><Relationship Type="http://schemas.openxmlformats.org/officeDocument/2006/relationships/worksheet" Target="/xl/worksheets/sheet22.xml" Id="Rda008586304a49d4" /><Relationship Type="http://schemas.openxmlformats.org/officeDocument/2006/relationships/worksheet" Target="/xl/worksheets/sheet23.xml" Id="Rc2304a049bd14d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American Express U.S. Consumer Services FP&amp;A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5">
      <x:c r="A5" s="6" t="str">
        <x:v>Annual Operating Plan, Rolling Forecast &amp; Performance Management</x:v>
      </x:c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8">
      <x:c r="A8" s="8" t="str">
        <x:v>Planning cutoff</x:v>
      </x:c>
      <x:c r="B8" s="9" t="str">
        <x:v>January 24, 2025</x:v>
      </x:c>
      <x:c r="C8" s="9"/>
      <x:c r="D8" s="9"/>
    </x:row>
    <x:row r="9">
      <x:c r="A9" s="8" t="str">
        <x:v>Current actuals</x:v>
      </x:c>
      <x:c r="B9" s="9" t="str">
        <x:v>Through Q2 2026</x:v>
      </x:c>
      <x:c r="C9" s="9"/>
      <x:c r="D9" s="9"/>
    </x:row>
    <x:row r="10">
      <x:c r="A10" s="8" t="str">
        <x:v>External scope</x:v>
      </x:c>
      <x:c r="B10" s="9" t="str">
        <x:v>American Express U.S. Consumer Services</x:v>
      </x:c>
      <x:c r="C10" s="9"/>
      <x:c r="D10" s="9"/>
    </x:row>
    <x:row r="11">
      <x:c r="A11" s="8" t="str">
        <x:v>Monthly actuals</x:v>
      </x:c>
      <x:c r="B11" s="9" t="str">
        <x:v>Model allocations reconciled to public quarters</x:v>
      </x:c>
      <x:c r="C11" s="9"/>
      <x:c r="D11" s="9"/>
    </x:row>
    <x:row r="12">
      <x:c r="A12" s="8" t="str">
        <x:v>Scenario selector</x:v>
      </x:c>
      <x:c r="B12" s="9" t="str">
        <x:v>Base</x:v>
      </x:c>
      <x:c r="C12" s="9"/>
      <x:c r="D12" s="9"/>
    </x:row>
    <x:row r="13">
      <x:c r="A13" s="8" t="str">
        <x:v>Status</x:v>
      </x:c>
      <x:c r="B13" s="9" t="str">
        <x:v>Functional review complete</x:v>
      </x:c>
      <x:c r="C13" s="9"/>
      <x:c r="D13" s="9"/>
    </x:row>
    <x:row r="16">
      <x:c r="A16" s="13" t="str">
        <x:v>Independent analysis based on public information. Illustrative planning detail does not represent American Express forecasts, budgets, organization or methods.</x:v>
      </x:c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</x:sheetData>
  <x:mergeCells>
    <x:mergeCell ref="A1:J3"/>
    <x:mergeCell ref="A5:J6"/>
    <x:mergeCell ref="A16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15" t="str">
        <x:v>Executive Summary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FY2025 actual vs frozen AOP and Q2 2026 latest estimate. USD millions unless noted.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Metric</x:v>
      </x:c>
      <x:c r="B4" s="24" t="str">
        <x:v>2025 AOP</x:v>
      </x:c>
      <x:c r="C4" s="24" t="str">
        <x:v>2025 Actual</x:v>
      </x:c>
      <x:c r="D4" s="24" t="str">
        <x:v>Variance</x:v>
      </x:c>
      <x:c r="E4" s="24" t="str">
        <x:v>Variance %</x:v>
      </x:c>
      <x:c r="F4" s="24" t="str">
        <x:v>2026 AOP</x:v>
      </x:c>
      <x:c r="G4" s="24" t="str">
        <x:v>Q2 2026 LE</x:v>
      </x:c>
      <x:c r="H4" s="24" t="str">
        <x:v>LE vs AOP</x:v>
      </x:c>
    </x:row>
    <x:row r="5">
      <x:c r="A5" s="25" t="str">
        <x:v>Total revenue</x:v>
      </x:c>
      <x:c r="B5" s="26" t="n">
        <x:f>'2025 AOP'!N8</x:f>
        <x:v>34469</x:v>
      </x:c>
      <x:c r="C5" s="26" t="n">
        <x:f>'2025 Actual'!N8</x:f>
        <x:v>34814</x:v>
      </x:c>
      <x:c r="D5" s="26" t="n">
        <x:f>C5-B5</x:f>
        <x:v>345</x:v>
      </x:c>
      <x:c r="E5" s="27" t="n">
        <x:f>IFERROR(D5/B5,0)</x:f>
        <x:v>0.010008993588441789</x:v>
      </x:c>
      <x:c r="F5" s="26" t="n">
        <x:f>'2026 Forecast'!B5</x:f>
        <x:v>38295.4</x:v>
      </x:c>
      <x:c r="G5" s="26" t="n">
        <x:f>'2026 Forecast'!C5</x:f>
        <x:v>38370.1</x:v>
      </x:c>
      <x:c r="H5" s="26" t="n">
        <x:f>G5-F5</x:f>
        <x:v>74.69999999999709</x:v>
      </x:c>
    </x:row>
    <x:row r="6">
      <x:c r="A6" s="25" t="str">
        <x:v>Provision</x:v>
      </x:c>
      <x:c r="B6" s="26" t="n">
        <x:f>'2025 AOP'!N9</x:f>
        <x:v>3099.9999999999995</x:v>
      </x:c>
      <x:c r="C6" s="26" t="n">
        <x:f>'2025 Actual'!N9</x:f>
        <x:v>2967</x:v>
      </x:c>
      <x:c r="D6" s="26" t="n">
        <x:f>C6-B6</x:f>
        <x:v>-132.99999999999955</x:v>
      </x:c>
      <x:c r="E6" s="27" t="n">
        <x:f>IFERROR(D6/B6,0)</x:f>
        <x:v>-0.04290322580645147</x:v>
      </x:c>
      <x:c r="F6" s="26" t="n">
        <x:f>'2026 Forecast'!B6</x:f>
        <x:v>3100</x:v>
      </x:c>
      <x:c r="G6" s="26" t="n">
        <x:f>'2026 Forecast'!C6</x:f>
        <x:v>2569</x:v>
      </x:c>
      <x:c r="H6" s="26" t="n">
        <x:f>G6-F6</x:f>
        <x:v>-531</x:v>
      </x:c>
    </x:row>
    <x:row r="7">
      <x:c r="A7" s="25" t="str">
        <x:v>Total expenses</x:v>
      </x:c>
      <x:c r="B7" s="26" t="n">
        <x:f>'2025 AOP'!N13</x:f>
        <x:v>24169.1</x:v>
      </x:c>
      <x:c r="C7" s="26" t="n">
        <x:f>'2025 Actual'!N13</x:f>
        <x:v>25037</x:v>
      </x:c>
      <x:c r="D7" s="26" t="n">
        <x:f>C7-B7</x:f>
        <x:v>867.9000000000015</x:v>
      </x:c>
      <x:c r="E7" s="27" t="n">
        <x:f>IFERROR(D7/B7,0)</x:f>
        <x:v>0.03590948773433854</x:v>
      </x:c>
      <x:c r="F7" s="26" t="n">
        <x:f>'2026 Forecast'!B10</x:f>
        <x:v>27350</x:v>
      </x:c>
      <x:c r="G7" s="26" t="n">
        <x:f>'2026 Forecast'!C10</x:f>
        <x:v>27907</x:v>
      </x:c>
      <x:c r="H7" s="26" t="n">
        <x:f>G7-F7</x:f>
        <x:v>557</x:v>
      </x:c>
    </x:row>
    <x:row r="8">
      <x:c r="A8" s="25" t="str">
        <x:v>Pretax income</x:v>
      </x:c>
      <x:c r="B8" s="26" t="n">
        <x:f>'2025 AOP'!N14</x:f>
        <x:v>7199.9</x:v>
      </x:c>
      <x:c r="C8" s="26" t="n">
        <x:f>'2025 Actual'!N14</x:f>
        <x:v>6810</x:v>
      </x:c>
      <x:c r="D8" s="26" t="n">
        <x:f>C8-B8</x:f>
        <x:v>-389.89999999999964</x:v>
      </x:c>
      <x:c r="E8" s="27" t="n">
        <x:f>IFERROR(D8/B8,0)</x:f>
        <x:v>-0.054153529910137596</x:v>
      </x:c>
      <x:c r="F8" s="26" t="n">
        <x:f>'2026 Forecast'!B11</x:f>
        <x:v>7845.4</x:v>
      </x:c>
      <x:c r="G8" s="26" t="n">
        <x:f>'2026 Forecast'!C11</x:f>
        <x:v>7894.1</x:v>
      </x:c>
      <x:c r="H8" s="26" t="n">
        <x:f>G8-F8</x:f>
        <x:v>48.70000000000073</x:v>
      </x:c>
    </x:row>
    <x:row r="9">
      <x:c r="A9" s="25" t="str">
        <x:v>Pretax margin</x:v>
      </x:c>
      <x:c r="B9" s="27" t="n">
        <x:f>B8/B5</x:f>
        <x:v>0.20888044329687544</x:v>
      </x:c>
      <x:c r="C9" s="27" t="n">
        <x:f>C8/C5</x:f>
        <x:v>0.1956109611076004</x:v>
      </x:c>
      <x:c r="D9" s="27" t="n">
        <x:f>C9-B9</x:f>
        <x:v>-0.01326948218927504</x:v>
      </x:c>
      <x:c r="E9" s="27" t="n">
        <x:f>D9</x:f>
        <x:v>-0.01326948218927504</x:v>
      </x:c>
      <x:c r="F9" s="27" t="n">
        <x:f>F8/F5</x:f>
        <x:v>0.20486533630671044</x:v>
      </x:c>
      <x:c r="G9" s="27" t="n">
        <x:f>G8/G5</x:f>
        <x:v>0.2057357160914358</x:v>
      </x:c>
      <x:c r="H9" s="27" t="n">
        <x:f>G9-F9</x:f>
        <x:v>0.0008703797847253447</x:v>
      </x:c>
    </x:row>
    <x:row r="12">
      <x:c r="A12" s="28" t="str">
        <x:v>Management actions</x:v>
      </x:c>
      <x:c r="B12" s="28"/>
      <x:c r="C12" s="28"/>
      <x:c r="D12" s="28"/>
      <x:c r="E12" s="28"/>
      <x:c r="F12" s="28"/>
      <x:c r="G12" s="28"/>
      <x:c r="H12" s="28"/>
    </x:row>
    <x:row r="13">
      <x:c r="A13" s="8" t="str">
        <x:v>2025 result</x:v>
      </x:c>
      <x:c r="B13" s="29" t="str">
        <x:v>Revenue beat plan, but rewards and allocated operating expense drove a pretax miss.</x:v>
      </x:c>
      <x:c r="C13" s="29"/>
      <x:c r="D13" s="29"/>
      <x:c r="E13" s="29"/>
      <x:c r="F13" s="29"/>
      <x:c r="G13" s="29"/>
      <x:c r="H13" s="29"/>
    </x:row>
    <x:row r="14">
      <x:c r="A14" s="8" t="str">
        <x:v>2026 outlook</x:v>
      </x:c>
      <x:c r="B14" s="29" t="str">
        <x:v>Lower provision offsets higher rewards and operating expense in the Q2 latest estimate.</x:v>
      </x:c>
      <x:c r="C14" s="29"/>
      <x:c r="D14" s="29"/>
      <x:c r="E14" s="29"/>
      <x:c r="F14" s="29"/>
      <x:c r="G14" s="29"/>
      <x:c r="H14" s="29"/>
    </x:row>
    <x:row r="15">
      <x:c r="A15" s="8" t="str">
        <x:v>Top risk</x:v>
      </x:c>
      <x:c r="B15" s="29" t="str">
        <x:v>Affluent spend slows while credit costs normalize.</x:v>
      </x:c>
      <x:c r="C15" s="29"/>
      <x:c r="D15" s="29"/>
      <x:c r="E15" s="29"/>
      <x:c r="F15" s="29"/>
      <x:c r="G15" s="29"/>
      <x:c r="H15" s="29"/>
    </x:row>
    <x:row r="16">
      <x:c r="A16" s="8" t="str">
        <x:v>Top opportunity</x:v>
      </x:c>
      <x:c r="B16" s="29" t="str">
        <x:v>Shift acquisition funding toward channels with stronger contribution and faster payback.</x:v>
      </x:c>
      <x:c r="C16" s="29"/>
      <x:c r="D16" s="29"/>
      <x:c r="E16" s="29"/>
      <x:c r="F16" s="29"/>
      <x:c r="G16" s="29"/>
      <x:c r="H16" s="29"/>
    </x:row>
    <x:row r="17">
      <x:c r="A17" s="8" t="str">
        <x:v>Decision required</x:v>
      </x:c>
      <x:c r="B17" s="29" t="str">
        <x:v>Protect high-return acquisition while pacing benefits and lower-priority hiring.</x:v>
      </x:c>
      <x:c r="C17" s="29"/>
      <x:c r="D17" s="29"/>
      <x:c r="E17" s="29"/>
      <x:c r="F17" s="29"/>
      <x:c r="G17" s="29"/>
      <x:c r="H17" s="29"/>
    </x:row>
    <x:row r="18">
      <x:c r="A18" s="8" t="str">
        <x:v>Forecast treatment</x:v>
      </x:c>
      <x:c r="B18" s="29" t="str">
        <x:v>Keep Risks &amp; Opportunities outside the booked forecast until evidence meets the defined threshold.</x:v>
      </x:c>
      <x:c r="C18" s="29"/>
      <x:c r="D18" s="29"/>
      <x:c r="E18" s="29"/>
      <x:c r="F18" s="29"/>
      <x:c r="G18" s="29"/>
      <x:c r="H18" s="29"/>
    </x:row>
  </x:sheetData>
  <x:mergeCells>
    <x:mergeCell ref="A1:N1"/>
    <x:mergeCell ref="A2:N2"/>
    <x:mergeCell ref="A12:H12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7E6E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7.880000114440918" hidden="0" customWidth="1"/>
    <x:col min="3" max="3" width="6.630000114440918" hidden="0" customWidth="1"/>
    <x:col min="4" max="4" width="14.880000114440918" hidden="0" customWidth="1"/>
    <x:col min="5" max="5" width="23.5" hidden="0" customWidth="1"/>
    <x:col min="6" max="6" width="9.5" hidden="0" customWidth="1"/>
    <x:col min="7" max="7" width="9.130000114440918" hidden="0" customWidth="1"/>
    <x:col min="8" max="8" width="28" hidden="0" customWidth="1"/>
    <x:col min="9" max="9" width="28" hidden="0" customWidth="1"/>
  </x:cols>
  <x:sheetData>
    <x:row r="1" ht="30" customHeight="1">
      <x:c r="A1" s="15" t="str">
        <x:v>Source Map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Official sources and field-level lineage. Model assumptions and allocations are labeled.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Metric</x:v>
      </x:c>
      <x:c r="B4" s="24" t="str">
        <x:v>Period</x:v>
      </x:c>
      <x:c r="C4" s="24" t="str">
        <x:v>Value</x:v>
      </x:c>
      <x:c r="D4" s="24" t="str">
        <x:v>Classification</x:v>
      </x:c>
      <x:c r="E4" s="24" t="str">
        <x:v>Source</x:v>
      </x:c>
      <x:c r="F4" s="24" t="str">
        <x:v>Source date</x:v>
      </x:c>
      <x:c r="G4" s="24" t="str">
        <x:v>As-of date</x:v>
      </x:c>
      <x:c r="H4" s="24" t="str">
        <x:v>Transformation</x:v>
      </x:c>
      <x:c r="I4" s="24" t="str">
        <x:v>Notes</x:v>
      </x:c>
    </x:row>
    <x:row r="5">
      <x:c r="A5" s="25" t="str">
        <x:v>non_interest_revenue</x:v>
      </x:c>
      <x:c r="B5" s="25" t="str">
        <x:v>2022</x:v>
      </x:c>
      <x:c r="C5" s="25" t="n">
        <x:v>16440</x:v>
      </x:c>
      <x:c r="D5" s="25" t="str">
        <x:v>PUBLIC_ACTUAL</x:v>
      </x:c>
      <x:c r="E5" s="25" t="str">
        <x:v>2024 10-K</x:v>
      </x:c>
      <x:c r="F5" s="25" t="str">
        <x:v>2025-02-14</x:v>
      </x:c>
      <x:c r="G5" s="25" t="str">
        <x:v>2025-02-14</x:v>
      </x:c>
      <x:c r="H5" s="25" t="str">
        <x:v>Transcribed from USCS selected income statement/statistical tables</x:v>
      </x:c>
      <x:c r="I5" s="25" t="str">
        <x:v>USD millions except billed business USD billions and operating ratios/counts</x:v>
      </x:c>
    </x:row>
    <x:row r="6">
      <x:c r="A6" s="25" t="str">
        <x:v>net_interest_income</x:v>
      </x:c>
      <x:c r="B6" s="25" t="str">
        <x:v>2022</x:v>
      </x:c>
      <x:c r="C6" s="25" t="n">
        <x:v>7474</x:v>
      </x:c>
      <x:c r="D6" s="25" t="str">
        <x:v>PUBLIC_ACTUAL</x:v>
      </x:c>
      <x:c r="E6" s="25" t="str">
        <x:v>2024 10-K</x:v>
      </x:c>
      <x:c r="F6" s="25" t="str">
        <x:v>2025-02-14</x:v>
      </x:c>
      <x:c r="G6" s="25" t="str">
        <x:v>2025-02-14</x:v>
      </x:c>
      <x:c r="H6" s="25" t="str">
        <x:v>Transcribed from USCS selected income statement/statistical tables</x:v>
      </x:c>
      <x:c r="I6" s="25" t="str">
        <x:v>USD millions except billed business USD billions and operating ratios/counts</x:v>
      </x:c>
    </x:row>
    <x:row r="7">
      <x:c r="A7" s="25" t="str">
        <x:v>total_revenue</x:v>
      </x:c>
      <x:c r="B7" s="25" t="str">
        <x:v>2022</x:v>
      </x:c>
      <x:c r="C7" s="25" t="n">
        <x:v>23914</x:v>
      </x:c>
      <x:c r="D7" s="25" t="str">
        <x:v>PUBLIC_ACTUAL</x:v>
      </x:c>
      <x:c r="E7" s="25" t="str">
        <x:v>2024 10-K</x:v>
      </x:c>
      <x:c r="F7" s="25" t="str">
        <x:v>2025-02-14</x:v>
      </x:c>
      <x:c r="G7" s="25" t="str">
        <x:v>2025-02-14</x:v>
      </x:c>
      <x:c r="H7" s="25" t="str">
        <x:v>Transcribed from USCS selected income statement/statistical tables</x:v>
      </x:c>
      <x:c r="I7" s="25" t="str">
        <x:v>USD millions except billed business USD billions and operating ratios/counts</x:v>
      </x:c>
    </x:row>
    <x:row r="8">
      <x:c r="A8" s="25" t="str">
        <x:v>provision</x:v>
      </x:c>
      <x:c r="B8" s="25" t="str">
        <x:v>2022</x:v>
      </x:c>
      <x:c r="C8" s="25" t="n">
        <x:v>1021</x:v>
      </x:c>
      <x:c r="D8" s="25" t="str">
        <x:v>PUBLIC_ACTUAL</x:v>
      </x:c>
      <x:c r="E8" s="25" t="str">
        <x:v>2024 10-K</x:v>
      </x:c>
      <x:c r="F8" s="25" t="str">
        <x:v>2025-02-14</x:v>
      </x:c>
      <x:c r="G8" s="25" t="str">
        <x:v>2025-02-14</x:v>
      </x:c>
      <x:c r="H8" s="25" t="str">
        <x:v>Transcribed from USCS selected income statement/statistical tables</x:v>
      </x:c>
      <x:c r="I8" s="25" t="str">
        <x:v>USD millions except billed business USD billions and operating ratios/counts</x:v>
      </x:c>
    </x:row>
    <x:row r="9">
      <x:c r="A9" s="25" t="str">
        <x:v>rewards_services</x:v>
      </x:c>
      <x:c r="B9" s="25" t="str">
        <x:v>2022</x:v>
      </x:c>
      <x:c r="C9" s="25" t="n">
        <x:v>10791</x:v>
      </x:c>
      <x:c r="D9" s="25" t="str">
        <x:v>PUBLIC_ACTUAL</x:v>
      </x:c>
      <x:c r="E9" s="25" t="str">
        <x:v>2024 10-K</x:v>
      </x:c>
      <x:c r="F9" s="25" t="str">
        <x:v>2025-02-14</x:v>
      </x:c>
      <x:c r="G9" s="25" t="str">
        <x:v>2025-02-14</x:v>
      </x:c>
      <x:c r="H9" s="25" t="str">
        <x:v>Transcribed from USCS selected income statement/statistical tables</x:v>
      </x:c>
      <x:c r="I9" s="25" t="str">
        <x:v>USD millions except billed business USD billions and operating ratios/counts</x:v>
      </x:c>
    </x:row>
    <x:row r="10">
      <x:c r="A10" s="25" t="str">
        <x:v>marketing</x:v>
      </x:c>
      <x:c r="B10" s="25" t="str">
        <x:v>2022</x:v>
      </x:c>
      <x:c r="C10" s="25" t="n">
        <x:v>2744</x:v>
      </x:c>
      <x:c r="D10" s="25" t="str">
        <x:v>PUBLIC_ACTUAL</x:v>
      </x:c>
      <x:c r="E10" s="25" t="str">
        <x:v>2024 10-K</x:v>
      </x:c>
      <x:c r="F10" s="25" t="str">
        <x:v>2025-02-14</x:v>
      </x:c>
      <x:c r="G10" s="25" t="str">
        <x:v>2025-02-14</x:v>
      </x:c>
      <x:c r="H10" s="25" t="str">
        <x:v>Transcribed from USCS selected income statement/statistical tables</x:v>
      </x:c>
      <x:c r="I10" s="25" t="str">
        <x:v>USD millions except billed business USD billions and operating ratios/counts</x:v>
      </x:c>
    </x:row>
    <x:row r="11">
      <x:c r="A11" s="25" t="str">
        <x:v>salaries_other</x:v>
      </x:c>
      <x:c r="B11" s="25" t="str">
        <x:v>2022</x:v>
      </x:c>
      <x:c r="C11" s="25" t="n">
        <x:v>3958</x:v>
      </x:c>
      <x:c r="D11" s="25" t="str">
        <x:v>PUBLIC_ACTUAL</x:v>
      </x:c>
      <x:c r="E11" s="25" t="str">
        <x:v>2024 10-K</x:v>
      </x:c>
      <x:c r="F11" s="25" t="str">
        <x:v>2025-02-14</x:v>
      </x:c>
      <x:c r="G11" s="25" t="str">
        <x:v>2025-02-14</x:v>
      </x:c>
      <x:c r="H11" s="25" t="str">
        <x:v>Transcribed from USCS selected income statement/statistical tables</x:v>
      </x:c>
      <x:c r="I11" s="25" t="str">
        <x:v>USD millions except billed business USD billions and operating ratios/counts</x:v>
      </x:c>
    </x:row>
    <x:row r="12">
      <x:c r="A12" s="25" t="str">
        <x:v>total_expenses</x:v>
      </x:c>
      <x:c r="B12" s="25" t="str">
        <x:v>2022</x:v>
      </x:c>
      <x:c r="C12" s="25" t="n">
        <x:v>17493</x:v>
      </x:c>
      <x:c r="D12" s="25" t="str">
        <x:v>PUBLIC_ACTUAL</x:v>
      </x:c>
      <x:c r="E12" s="25" t="str">
        <x:v>2024 10-K</x:v>
      </x:c>
      <x:c r="F12" s="25" t="str">
        <x:v>2025-02-14</x:v>
      </x:c>
      <x:c r="G12" s="25" t="str">
        <x:v>2025-02-14</x:v>
      </x:c>
      <x:c r="H12" s="25" t="str">
        <x:v>Transcribed from USCS selected income statement/statistical tables</x:v>
      </x:c>
      <x:c r="I12" s="25" t="str">
        <x:v>USD millions except billed business USD billions and operating ratios/counts</x:v>
      </x:c>
    </x:row>
    <x:row r="13">
      <x:c r="A13" s="25" t="str">
        <x:v>pretax_income</x:v>
      </x:c>
      <x:c r="B13" s="25" t="str">
        <x:v>2022</x:v>
      </x:c>
      <x:c r="C13" s="25" t="n">
        <x:v>5400</x:v>
      </x:c>
      <x:c r="D13" s="25" t="str">
        <x:v>PUBLIC_ACTUAL</x:v>
      </x:c>
      <x:c r="E13" s="25" t="str">
        <x:v>2024 10-K</x:v>
      </x:c>
      <x:c r="F13" s="25" t="str">
        <x:v>2025-02-14</x:v>
      </x:c>
      <x:c r="G13" s="25" t="str">
        <x:v>2025-02-14</x:v>
      </x:c>
      <x:c r="H13" s="25" t="str">
        <x:v>Transcribed from USCS selected income statement/statistical tables</x:v>
      </x:c>
      <x:c r="I13" s="25" t="str">
        <x:v>USD millions except billed business USD billions and operating ratios/counts</x:v>
      </x:c>
    </x:row>
    <x:row r="14">
      <x:c r="A14" s="25" t="str">
        <x:v>billed_business</x:v>
      </x:c>
      <x:c r="B14" s="25" t="str">
        <x:v>2022</x:v>
      </x:c>
      <x:c r="C14" s="25" t="n">
        <x:v>553</x:v>
      </x:c>
      <x:c r="D14" s="25" t="str">
        <x:v>PUBLIC_ACTUAL</x:v>
      </x:c>
      <x:c r="E14" s="25" t="str">
        <x:v>2024 10-K</x:v>
      </x:c>
      <x:c r="F14" s="25" t="str">
        <x:v>2025-02-14</x:v>
      </x:c>
      <x:c r="G14" s="25" t="str">
        <x:v>2025-02-14</x:v>
      </x:c>
      <x:c r="H14" s="25" t="str">
        <x:v>Transcribed from USCS selected income statement/statistical tables</x:v>
      </x:c>
      <x:c r="I14" s="25" t="str">
        <x:v>USD millions except billed business USD billions and operating ratios/counts</x:v>
      </x:c>
    </x:row>
    <x:row r="15">
      <x:c r="A15" s="25" t="str">
        <x:v>cards_in_force</x:v>
      </x:c>
      <x:c r="B15" s="25" t="str">
        <x:v>2022</x:v>
      </x:c>
      <x:c r="C15" s="25" t="n">
        <x:v>41.7</x:v>
      </x:c>
      <x:c r="D15" s="25" t="str">
        <x:v>PUBLIC_ACTUAL</x:v>
      </x:c>
      <x:c r="E15" s="25" t="str">
        <x:v>2024 10-K</x:v>
      </x:c>
      <x:c r="F15" s="25" t="str">
        <x:v>2025-02-14</x:v>
      </x:c>
      <x:c r="G15" s="25" t="str">
        <x:v>2025-02-14</x:v>
      </x:c>
      <x:c r="H15" s="25" t="str">
        <x:v>Transcribed from USCS selected income statement/statistical tables</x:v>
      </x:c>
      <x:c r="I15" s="25" t="str">
        <x:v>USD millions except billed business USD billions and operating ratios/counts</x:v>
      </x:c>
    </x:row>
    <x:row r="16">
      <x:c r="A16" s="25" t="str">
        <x:v>basic_cards</x:v>
      </x:c>
      <x:c r="B16" s="25" t="str">
        <x:v>2022</x:v>
      </x:c>
      <x:c r="C16" s="25" t="n">
        <x:v>29.2</x:v>
      </x:c>
      <x:c r="D16" s="25" t="str">
        <x:v>PUBLIC_ACTUAL</x:v>
      </x:c>
      <x:c r="E16" s="25" t="str">
        <x:v>2024 10-K</x:v>
      </x:c>
      <x:c r="F16" s="25" t="str">
        <x:v>2025-02-14</x:v>
      </x:c>
      <x:c r="G16" s="25" t="str">
        <x:v>2025-02-14</x:v>
      </x:c>
      <x:c r="H16" s="25" t="str">
        <x:v>Transcribed from USCS selected income statement/statistical tables</x:v>
      </x:c>
      <x:c r="I16" s="25" t="str">
        <x:v>USD millions except billed business USD billions and operating ratios/counts</x:v>
      </x:c>
    </x:row>
    <x:row r="17">
      <x:c r="A17" s="25" t="str">
        <x:v>spend_per_basic</x:v>
      </x:c>
      <x:c r="B17" s="25" t="str">
        <x:v>2022</x:v>
      </x:c>
      <x:c r="C17" s="25" t="n">
        <x:v>19514</x:v>
      </x:c>
      <x:c r="D17" s="25" t="str">
        <x:v>PUBLIC_ACTUAL</x:v>
      </x:c>
      <x:c r="E17" s="25" t="str">
        <x:v>2024 10-K</x:v>
      </x:c>
      <x:c r="F17" s="25" t="str">
        <x:v>2025-02-14</x:v>
      </x:c>
      <x:c r="G17" s="25" t="str">
        <x:v>2025-02-14</x:v>
      </x:c>
      <x:c r="H17" s="25" t="str">
        <x:v>Transcribed from USCS selected income statement/statistical tables</x:v>
      </x:c>
      <x:c r="I17" s="25" t="str">
        <x:v>USD millions except billed business USD billions and operating ratios/counts</x:v>
      </x:c>
    </x:row>
    <x:row r="18">
      <x:c r="A18" s="25" t="str">
        <x:v>loans_receivables</x:v>
      </x:c>
      <x:c r="B18" s="25" t="str">
        <x:v>2022</x:v>
      </x:c>
      <x:c r="C18" s="25" t="n">
        <x:v>86.923</x:v>
      </x:c>
      <x:c r="D18" s="25" t="str">
        <x:v>PUBLIC_ACTUAL</x:v>
      </x:c>
      <x:c r="E18" s="25" t="str">
        <x:v>2024 10-K</x:v>
      </x:c>
      <x:c r="F18" s="25" t="str">
        <x:v>2025-02-14</x:v>
      </x:c>
      <x:c r="G18" s="25" t="str">
        <x:v>2025-02-14</x:v>
      </x:c>
      <x:c r="H18" s="25" t="str">
        <x:v>Transcribed from USCS selected income statement/statistical tables</x:v>
      </x:c>
      <x:c r="I18" s="25" t="str">
        <x:v>USD millions except billed business USD billions and operating ratios/counts</x:v>
      </x:c>
    </x:row>
    <x:row r="19">
      <x:c r="A19" s="25" t="str">
        <x:v>nco_rate</x:v>
      </x:c>
      <x:c r="B19" s="25" t="str">
        <x:v>2022</x:v>
      </x:c>
      <x:c r="C19" s="25" t="n">
        <x:v>0.01</x:v>
      </x:c>
      <x:c r="D19" s="25" t="str">
        <x:v>PUBLIC_ACTUAL</x:v>
      </x:c>
      <x:c r="E19" s="25" t="str">
        <x:v>2024 10-K</x:v>
      </x:c>
      <x:c r="F19" s="25" t="str">
        <x:v>2025-02-14</x:v>
      </x:c>
      <x:c r="G19" s="25" t="str">
        <x:v>2025-02-14</x:v>
      </x:c>
      <x:c r="H19" s="25" t="str">
        <x:v>Transcribed from USCS selected income statement/statistical tables</x:v>
      </x:c>
      <x:c r="I19" s="25" t="str">
        <x:v>USD millions except billed business USD billions and operating ratios/counts</x:v>
      </x:c>
    </x:row>
    <x:row r="20">
      <x:c r="A20" s="25" t="str">
        <x:v>delinquency</x:v>
      </x:c>
      <x:c r="B20" s="25" t="str">
        <x:v>2022</x:v>
      </x:c>
      <x:c r="C20" s="25" t="n">
        <x:v>0.011</x:v>
      </x:c>
      <x:c r="D20" s="25" t="str">
        <x:v>PUBLIC_ACTUAL</x:v>
      </x:c>
      <x:c r="E20" s="25" t="str">
        <x:v>2024 10-K</x:v>
      </x:c>
      <x:c r="F20" s="25" t="str">
        <x:v>2025-02-14</x:v>
      </x:c>
      <x:c r="G20" s="25" t="str">
        <x:v>2025-02-14</x:v>
      </x:c>
      <x:c r="H20" s="25" t="str">
        <x:v>Transcribed from USCS selected income statement/statistical tables</x:v>
      </x:c>
      <x:c r="I20" s="25" t="str">
        <x:v>USD millions except billed business USD billions and operating ratios/counts</x:v>
      </x:c>
    </x:row>
    <x:row r="21">
      <x:c r="A21" s="25" t="str">
        <x:v>non_interest_revenue</x:v>
      </x:c>
      <x:c r="B21" s="25" t="str">
        <x:v>2023</x:v>
      </x:c>
      <x:c r="C21" s="25" t="n">
        <x:v>18464</x:v>
      </x:c>
      <x:c r="D21" s="25" t="str">
        <x:v>PUBLIC_ACTUAL</x:v>
      </x:c>
      <x:c r="E21" s="25" t="str">
        <x:v>2024 10-K</x:v>
      </x:c>
      <x:c r="F21" s="25" t="str">
        <x:v>2025-02-14</x:v>
      </x:c>
      <x:c r="G21" s="25" t="str">
        <x:v>2025-02-14</x:v>
      </x:c>
      <x:c r="H21" s="25" t="str">
        <x:v>Transcribed from USCS selected income statement/statistical tables</x:v>
      </x:c>
      <x:c r="I21" s="25" t="str">
        <x:v>USD millions except billed business USD billions and operating ratios/counts</x:v>
      </x:c>
    </x:row>
    <x:row r="22">
      <x:c r="A22" s="25" t="str">
        <x:v>net_interest_income</x:v>
      </x:c>
      <x:c r="B22" s="25" t="str">
        <x:v>2023</x:v>
      </x:c>
      <x:c r="C22" s="25" t="n">
        <x:v>9652</x:v>
      </x:c>
      <x:c r="D22" s="25" t="str">
        <x:v>PUBLIC_ACTUAL</x:v>
      </x:c>
      <x:c r="E22" s="25" t="str">
        <x:v>2024 10-K</x:v>
      </x:c>
      <x:c r="F22" s="25" t="str">
        <x:v>2025-02-14</x:v>
      </x:c>
      <x:c r="G22" s="25" t="str">
        <x:v>2025-02-14</x:v>
      </x:c>
      <x:c r="H22" s="25" t="str">
        <x:v>Transcribed from USCS selected income statement/statistical tables</x:v>
      </x:c>
      <x:c r="I22" s="25" t="str">
        <x:v>USD millions except billed business USD billions and operating ratios/counts</x:v>
      </x:c>
    </x:row>
    <x:row r="23">
      <x:c r="A23" s="25" t="str">
        <x:v>total_revenue</x:v>
      </x:c>
      <x:c r="B23" s="25" t="str">
        <x:v>2023</x:v>
      </x:c>
      <x:c r="C23" s="25" t="n">
        <x:v>28116</x:v>
      </x:c>
      <x:c r="D23" s="25" t="str">
        <x:v>PUBLIC_ACTUAL</x:v>
      </x:c>
      <x:c r="E23" s="25" t="str">
        <x:v>2024 10-K</x:v>
      </x:c>
      <x:c r="F23" s="25" t="str">
        <x:v>2025-02-14</x:v>
      </x:c>
      <x:c r="G23" s="25" t="str">
        <x:v>2025-02-14</x:v>
      </x:c>
      <x:c r="H23" s="25" t="str">
        <x:v>Transcribed from USCS selected income statement/statistical tables</x:v>
      </x:c>
      <x:c r="I23" s="25" t="str">
        <x:v>USD millions except billed business USD billions and operating ratios/counts</x:v>
      </x:c>
    </x:row>
    <x:row r="24">
      <x:c r="A24" s="25" t="str">
        <x:v>provision</x:v>
      </x:c>
      <x:c r="B24" s="25" t="str">
        <x:v>2023</x:v>
      </x:c>
      <x:c r="C24" s="25" t="n">
        <x:v>2855</x:v>
      </x:c>
      <x:c r="D24" s="25" t="str">
        <x:v>PUBLIC_ACTUAL</x:v>
      </x:c>
      <x:c r="E24" s="25" t="str">
        <x:v>2024 10-K</x:v>
      </x:c>
      <x:c r="F24" s="25" t="str">
        <x:v>2025-02-14</x:v>
      </x:c>
      <x:c r="G24" s="25" t="str">
        <x:v>2025-02-14</x:v>
      </x:c>
      <x:c r="H24" s="25" t="str">
        <x:v>Transcribed from USCS selected income statement/statistical tables</x:v>
      </x:c>
      <x:c r="I24" s="25" t="str">
        <x:v>USD millions except billed business USD billions and operating ratios/counts</x:v>
      </x:c>
    </x:row>
    <x:row r="25">
      <x:c r="A25" s="25" t="str">
        <x:v>rewards_services</x:v>
      </x:c>
      <x:c r="B25" s="25" t="str">
        <x:v>2023</x:v>
      </x:c>
      <x:c r="C25" s="25" t="n">
        <x:v>12808</x:v>
      </x:c>
      <x:c r="D25" s="25" t="str">
        <x:v>PUBLIC_ACTUAL</x:v>
      </x:c>
      <x:c r="E25" s="25" t="str">
        <x:v>2024 10-K</x:v>
      </x:c>
      <x:c r="F25" s="25" t="str">
        <x:v>2025-02-14</x:v>
      </x:c>
      <x:c r="G25" s="25" t="str">
        <x:v>2025-02-14</x:v>
      </x:c>
      <x:c r="H25" s="25" t="str">
        <x:v>Transcribed from USCS selected income statement/statistical tables</x:v>
      </x:c>
      <x:c r="I25" s="25" t="str">
        <x:v>USD millions except billed business USD billions and operating ratios/counts</x:v>
      </x:c>
    </x:row>
    <x:row r="26">
      <x:c r="A26" s="25" t="str">
        <x:v>marketing</x:v>
      </x:c>
      <x:c r="B26" s="25" t="str">
        <x:v>2023</x:v>
      </x:c>
      <x:c r="C26" s="25" t="n">
        <x:v>2585</x:v>
      </x:c>
      <x:c r="D26" s="25" t="str">
        <x:v>PUBLIC_ACTUAL</x:v>
      </x:c>
      <x:c r="E26" s="25" t="str">
        <x:v>2024 10-K</x:v>
      </x:c>
      <x:c r="F26" s="25" t="str">
        <x:v>2025-02-14</x:v>
      </x:c>
      <x:c r="G26" s="25" t="str">
        <x:v>2025-02-14</x:v>
      </x:c>
      <x:c r="H26" s="25" t="str">
        <x:v>Transcribed from USCS selected income statement/statistical tables</x:v>
      </x:c>
      <x:c r="I26" s="25" t="str">
        <x:v>USD millions except billed business USD billions and operating ratios/counts</x:v>
      </x:c>
    </x:row>
    <x:row r="27">
      <x:c r="A27" s="25" t="str">
        <x:v>salaries_other</x:v>
      </x:c>
      <x:c r="B27" s="25" t="str">
        <x:v>2023</x:v>
      </x:c>
      <x:c r="C27" s="25" t="n">
        <x:v>4435</x:v>
      </x:c>
      <x:c r="D27" s="25" t="str">
        <x:v>PUBLIC_ACTUAL</x:v>
      </x:c>
      <x:c r="E27" s="25" t="str">
        <x:v>2024 10-K</x:v>
      </x:c>
      <x:c r="F27" s="25" t="str">
        <x:v>2025-02-14</x:v>
      </x:c>
      <x:c r="G27" s="25" t="str">
        <x:v>2025-02-14</x:v>
      </x:c>
      <x:c r="H27" s="25" t="str">
        <x:v>Transcribed from USCS selected income statement/statistical tables</x:v>
      </x:c>
      <x:c r="I27" s="25" t="str">
        <x:v>USD millions except billed business USD billions and operating ratios/counts</x:v>
      </x:c>
    </x:row>
    <x:row r="28">
      <x:c r="A28" s="25" t="str">
        <x:v>total_expenses</x:v>
      </x:c>
      <x:c r="B28" s="25" t="str">
        <x:v>2023</x:v>
      </x:c>
      <x:c r="C28" s="25" t="n">
        <x:v>19828</x:v>
      </x:c>
      <x:c r="D28" s="25" t="str">
        <x:v>PUBLIC_ACTUAL</x:v>
      </x:c>
      <x:c r="E28" s="25" t="str">
        <x:v>2024 10-K</x:v>
      </x:c>
      <x:c r="F28" s="25" t="str">
        <x:v>2025-02-14</x:v>
      </x:c>
      <x:c r="G28" s="25" t="str">
        <x:v>2025-02-14</x:v>
      </x:c>
      <x:c r="H28" s="25" t="str">
        <x:v>Transcribed from USCS selected income statement/statistical tables</x:v>
      </x:c>
      <x:c r="I28" s="25" t="str">
        <x:v>USD millions except billed business USD billions and operating ratios/counts</x:v>
      </x:c>
    </x:row>
    <x:row r="29">
      <x:c r="A29" s="25" t="str">
        <x:v>pretax_income</x:v>
      </x:c>
      <x:c r="B29" s="25" t="str">
        <x:v>2023</x:v>
      </x:c>
      <x:c r="C29" s="25" t="n">
        <x:v>5433</x:v>
      </x:c>
      <x:c r="D29" s="25" t="str">
        <x:v>PUBLIC_ACTUAL</x:v>
      </x:c>
      <x:c r="E29" s="25" t="str">
        <x:v>2024 10-K</x:v>
      </x:c>
      <x:c r="F29" s="25" t="str">
        <x:v>2025-02-14</x:v>
      </x:c>
      <x:c r="G29" s="25" t="str">
        <x:v>2025-02-14</x:v>
      </x:c>
      <x:c r="H29" s="25" t="str">
        <x:v>Transcribed from USCS selected income statement/statistical tables</x:v>
      </x:c>
      <x:c r="I29" s="25" t="str">
        <x:v>USD millions except billed business USD billions and operating ratios/counts</x:v>
      </x:c>
    </x:row>
    <x:row r="30">
      <x:c r="A30" s="25" t="str">
        <x:v>billed_business</x:v>
      </x:c>
      <x:c r="B30" s="25" t="str">
        <x:v>2023</x:v>
      </x:c>
      <x:c r="C30" s="25" t="n">
        <x:v>610.8</x:v>
      </x:c>
      <x:c r="D30" s="25" t="str">
        <x:v>PUBLIC_ACTUAL</x:v>
      </x:c>
      <x:c r="E30" s="25" t="str">
        <x:v>2024 10-K</x:v>
      </x:c>
      <x:c r="F30" s="25" t="str">
        <x:v>2025-02-14</x:v>
      </x:c>
      <x:c r="G30" s="25" t="str">
        <x:v>2025-02-14</x:v>
      </x:c>
      <x:c r="H30" s="25" t="str">
        <x:v>Transcribed from USCS selected income statement/statistical tables</x:v>
      </x:c>
      <x:c r="I30" s="25" t="str">
        <x:v>USD millions except billed business USD billions and operating ratios/counts</x:v>
      </x:c>
    </x:row>
    <x:row r="31">
      <x:c r="A31" s="25" t="str">
        <x:v>cards_in_force</x:v>
      </x:c>
      <x:c r="B31" s="25" t="str">
        <x:v>2023</x:v>
      </x:c>
      <x:c r="C31" s="25" t="n">
        <x:v>43.8</x:v>
      </x:c>
      <x:c r="D31" s="25" t="str">
        <x:v>PUBLIC_ACTUAL</x:v>
      </x:c>
      <x:c r="E31" s="25" t="str">
        <x:v>2024 10-K</x:v>
      </x:c>
      <x:c r="F31" s="25" t="str">
        <x:v>2025-02-14</x:v>
      </x:c>
      <x:c r="G31" s="25" t="str">
        <x:v>2025-02-14</x:v>
      </x:c>
      <x:c r="H31" s="25" t="str">
        <x:v>Transcribed from USCS selected income statement/statistical tables</x:v>
      </x:c>
      <x:c r="I31" s="25" t="str">
        <x:v>USD millions except billed business USD billions and operating ratios/counts</x:v>
      </x:c>
    </x:row>
    <x:row r="32">
      <x:c r="A32" s="25" t="str">
        <x:v>basic_cards</x:v>
      </x:c>
      <x:c r="B32" s="25" t="str">
        <x:v>2023</x:v>
      </x:c>
      <x:c r="C32" s="25" t="n">
        <x:v>30.7</x:v>
      </x:c>
      <x:c r="D32" s="25" t="str">
        <x:v>PUBLIC_ACTUAL</x:v>
      </x:c>
      <x:c r="E32" s="25" t="str">
        <x:v>2024 10-K</x:v>
      </x:c>
      <x:c r="F32" s="25" t="str">
        <x:v>2025-02-14</x:v>
      </x:c>
      <x:c r="G32" s="25" t="str">
        <x:v>2025-02-14</x:v>
      </x:c>
      <x:c r="H32" s="25" t="str">
        <x:v>Transcribed from USCS selected income statement/statistical tables</x:v>
      </x:c>
      <x:c r="I32" s="25" t="str">
        <x:v>USD millions except billed business USD billions and operating ratios/counts</x:v>
      </x:c>
    </x:row>
    <x:row r="33">
      <x:c r="A33" s="25" t="str">
        <x:v>spend_per_basic</x:v>
      </x:c>
      <x:c r="B33" s="25" t="str">
        <x:v>2023</x:v>
      </x:c>
      <x:c r="C33" s="25" t="n">
        <x:v>20303</x:v>
      </x:c>
      <x:c r="D33" s="25" t="str">
        <x:v>PUBLIC_ACTUAL</x:v>
      </x:c>
      <x:c r="E33" s="25" t="str">
        <x:v>2024 10-K</x:v>
      </x:c>
      <x:c r="F33" s="25" t="str">
        <x:v>2025-02-14</x:v>
      </x:c>
      <x:c r="G33" s="25" t="str">
        <x:v>2025-02-14</x:v>
      </x:c>
      <x:c r="H33" s="25" t="str">
        <x:v>Transcribed from USCS selected income statement/statistical tables</x:v>
      </x:c>
      <x:c r="I33" s="25" t="str">
        <x:v>USD millions except billed business USD billions and operating ratios/counts</x:v>
      </x:c>
    </x:row>
    <x:row r="34">
      <x:c r="A34" s="25" t="str">
        <x:v>loans_receivables</x:v>
      </x:c>
      <x:c r="B34" s="25" t="str">
        <x:v>2023</x:v>
      </x:c>
      <x:c r="C34" s="25" t="n">
        <x:v>97.996</x:v>
      </x:c>
      <x:c r="D34" s="25" t="str">
        <x:v>PUBLIC_ACTUAL</x:v>
      </x:c>
      <x:c r="E34" s="25" t="str">
        <x:v>2024 10-K</x:v>
      </x:c>
      <x:c r="F34" s="25" t="str">
        <x:v>2025-02-14</x:v>
      </x:c>
      <x:c r="G34" s="25" t="str">
        <x:v>2025-02-14</x:v>
      </x:c>
      <x:c r="H34" s="25" t="str">
        <x:v>Transcribed from USCS selected income statement/statistical tables</x:v>
      </x:c>
      <x:c r="I34" s="25" t="str">
        <x:v>USD millions except billed business USD billions and operating ratios/counts</x:v>
      </x:c>
    </x:row>
    <x:row r="35">
      <x:c r="A35" s="25" t="str">
        <x:v>nco_rate</x:v>
      </x:c>
      <x:c r="B35" s="25" t="str">
        <x:v>2023</x:v>
      </x:c>
      <x:c r="C35" s="25" t="n">
        <x:v>0.02</x:v>
      </x:c>
      <x:c r="D35" s="25" t="str">
        <x:v>PUBLIC_ACTUAL</x:v>
      </x:c>
      <x:c r="E35" s="25" t="str">
        <x:v>2024 10-K</x:v>
      </x:c>
      <x:c r="F35" s="25" t="str">
        <x:v>2025-02-14</x:v>
      </x:c>
      <x:c r="G35" s="25" t="str">
        <x:v>2025-02-14</x:v>
      </x:c>
      <x:c r="H35" s="25" t="str">
        <x:v>Transcribed from USCS selected income statement/statistical tables</x:v>
      </x:c>
      <x:c r="I35" s="25" t="str">
        <x:v>USD millions except billed business USD billions and operating ratios/counts</x:v>
      </x:c>
    </x:row>
    <x:row r="36">
      <x:c r="A36" s="25" t="str">
        <x:v>delinquency</x:v>
      </x:c>
      <x:c r="B36" s="25" t="str">
        <x:v>2023</x:v>
      </x:c>
      <x:c r="C36" s="25" t="n">
        <x:v>0.013</x:v>
      </x:c>
      <x:c r="D36" s="25" t="str">
        <x:v>PUBLIC_ACTUAL</x:v>
      </x:c>
      <x:c r="E36" s="25" t="str">
        <x:v>2024 10-K</x:v>
      </x:c>
      <x:c r="F36" s="25" t="str">
        <x:v>2025-02-14</x:v>
      </x:c>
      <x:c r="G36" s="25" t="str">
        <x:v>2025-02-14</x:v>
      </x:c>
      <x:c r="H36" s="25" t="str">
        <x:v>Transcribed from USCS selected income statement/statistical tables</x:v>
      </x:c>
      <x:c r="I36" s="25" t="str">
        <x:v>USD millions except billed business USD billions and operating ratios/counts</x:v>
      </x:c>
    </x:row>
    <x:row r="37">
      <x:c r="A37" s="25" t="str">
        <x:v>non_interest_revenue</x:v>
      </x:c>
      <x:c r="B37" s="25" t="str">
        <x:v>2024</x:v>
      </x:c>
      <x:c r="C37" s="25" t="n">
        <x:v>20137</x:v>
      </x:c>
      <x:c r="D37" s="25" t="str">
        <x:v>PUBLIC_ACTUAL</x:v>
      </x:c>
      <x:c r="E37" s="25" t="str">
        <x:v>2024 10-K</x:v>
      </x:c>
      <x:c r="F37" s="25" t="str">
        <x:v>2025-02-14</x:v>
      </x:c>
      <x:c r="G37" s="25" t="str">
        <x:v>2025-02-14</x:v>
      </x:c>
      <x:c r="H37" s="25" t="str">
        <x:v>Transcribed from USCS selected income statement/statistical tables</x:v>
      </x:c>
      <x:c r="I37" s="25" t="str">
        <x:v>USD millions except billed business USD billions and operating ratios/counts</x:v>
      </x:c>
    </x:row>
    <x:row r="38">
      <x:c r="A38" s="25" t="str">
        <x:v>net_interest_income</x:v>
      </x:c>
      <x:c r="B38" s="25" t="str">
        <x:v>2024</x:v>
      </x:c>
      <x:c r="C38" s="25" t="n">
        <x:v>11290</x:v>
      </x:c>
      <x:c r="D38" s="25" t="str">
        <x:v>PUBLIC_ACTUAL</x:v>
      </x:c>
      <x:c r="E38" s="25" t="str">
        <x:v>2024 10-K</x:v>
      </x:c>
      <x:c r="F38" s="25" t="str">
        <x:v>2025-02-14</x:v>
      </x:c>
      <x:c r="G38" s="25" t="str">
        <x:v>2025-02-14</x:v>
      </x:c>
      <x:c r="H38" s="25" t="str">
        <x:v>Transcribed from USCS selected income statement/statistical tables</x:v>
      </x:c>
      <x:c r="I38" s="25" t="str">
        <x:v>USD millions except billed business USD billions and operating ratios/counts</x:v>
      </x:c>
    </x:row>
    <x:row r="39">
      <x:c r="A39" s="25" t="str">
        <x:v>total_revenue</x:v>
      </x:c>
      <x:c r="B39" s="25" t="str">
        <x:v>2024</x:v>
      </x:c>
      <x:c r="C39" s="25" t="n">
        <x:v>31427</x:v>
      </x:c>
      <x:c r="D39" s="25" t="str">
        <x:v>PUBLIC_ACTUAL</x:v>
      </x:c>
      <x:c r="E39" s="25" t="str">
        <x:v>2024 10-K</x:v>
      </x:c>
      <x:c r="F39" s="25" t="str">
        <x:v>2025-02-14</x:v>
      </x:c>
      <x:c r="G39" s="25" t="str">
        <x:v>2025-02-14</x:v>
      </x:c>
      <x:c r="H39" s="25" t="str">
        <x:v>Transcribed from USCS selected income statement/statistical tables</x:v>
      </x:c>
      <x:c r="I39" s="25" t="str">
        <x:v>USD millions except billed business USD billions and operating ratios/counts</x:v>
      </x:c>
    </x:row>
    <x:row r="40">
      <x:c r="A40" s="25" t="str">
        <x:v>provision</x:v>
      </x:c>
      <x:c r="B40" s="25" t="str">
        <x:v>2024</x:v>
      </x:c>
      <x:c r="C40" s="25" t="n">
        <x:v>3029</x:v>
      </x:c>
      <x:c r="D40" s="25" t="str">
        <x:v>PUBLIC_ACTUAL</x:v>
      </x:c>
      <x:c r="E40" s="25" t="str">
        <x:v>2024 10-K</x:v>
      </x:c>
      <x:c r="F40" s="25" t="str">
        <x:v>2025-02-14</x:v>
      </x:c>
      <x:c r="G40" s="25" t="str">
        <x:v>2025-02-14</x:v>
      </x:c>
      <x:c r="H40" s="25" t="str">
        <x:v>Transcribed from USCS selected income statement/statistical tables</x:v>
      </x:c>
      <x:c r="I40" s="25" t="str">
        <x:v>USD millions except billed business USD billions and operating ratios/counts</x:v>
      </x:c>
    </x:row>
    <x:row r="41">
      <x:c r="A41" s="25" t="str">
        <x:v>rewards_services</x:v>
      </x:c>
      <x:c r="B41" s="25" t="str">
        <x:v>2024</x:v>
      </x:c>
      <x:c r="C41" s="25" t="n">
        <x:v>14329</x:v>
      </x:c>
      <x:c r="D41" s="25" t="str">
        <x:v>PUBLIC_ACTUAL</x:v>
      </x:c>
      <x:c r="E41" s="25" t="str">
        <x:v>2024 10-K</x:v>
      </x:c>
      <x:c r="F41" s="25" t="str">
        <x:v>2025-02-14</x:v>
      </x:c>
      <x:c r="G41" s="25" t="str">
        <x:v>2025-02-14</x:v>
      </x:c>
      <x:c r="H41" s="25" t="str">
        <x:v>Transcribed from USCS selected income statement/statistical tables</x:v>
      </x:c>
      <x:c r="I41" s="25" t="str">
        <x:v>USD millions except billed business USD billions and operating ratios/counts</x:v>
      </x:c>
    </x:row>
    <x:row r="42">
      <x:c r="A42" s="25" t="str">
        <x:v>marketing</x:v>
      </x:c>
      <x:c r="B42" s="25" t="str">
        <x:v>2024</x:v>
      </x:c>
      <x:c r="C42" s="25" t="n">
        <x:v>3051</x:v>
      </x:c>
      <x:c r="D42" s="25" t="str">
        <x:v>PUBLIC_ACTUAL</x:v>
      </x:c>
      <x:c r="E42" s="25" t="str">
        <x:v>2024 10-K</x:v>
      </x:c>
      <x:c r="F42" s="25" t="str">
        <x:v>2025-02-14</x:v>
      </x:c>
      <x:c r="G42" s="25" t="str">
        <x:v>2025-02-14</x:v>
      </x:c>
      <x:c r="H42" s="25" t="str">
        <x:v>Transcribed from USCS selected income statement/statistical tables</x:v>
      </x:c>
      <x:c r="I42" s="25" t="str">
        <x:v>USD millions except billed business USD billions and operating ratios/counts</x:v>
      </x:c>
    </x:row>
    <x:row r="43">
      <x:c r="A43" s="25" t="str">
        <x:v>salaries_other</x:v>
      </x:c>
      <x:c r="B43" s="25" t="str">
        <x:v>2024</x:v>
      </x:c>
      <x:c r="C43" s="25" t="n">
        <x:v>4641</x:v>
      </x:c>
      <x:c r="D43" s="25" t="str">
        <x:v>PUBLIC_ACTUAL</x:v>
      </x:c>
      <x:c r="E43" s="25" t="str">
        <x:v>2024 10-K</x:v>
      </x:c>
      <x:c r="F43" s="25" t="str">
        <x:v>2025-02-14</x:v>
      </x:c>
      <x:c r="G43" s="25" t="str">
        <x:v>2025-02-14</x:v>
      </x:c>
      <x:c r="H43" s="25" t="str">
        <x:v>Transcribed from USCS selected income statement/statistical tables</x:v>
      </x:c>
      <x:c r="I43" s="25" t="str">
        <x:v>USD millions except billed business USD billions and operating ratios/counts</x:v>
      </x:c>
    </x:row>
    <x:row r="44">
      <x:c r="A44" s="25" t="str">
        <x:v>total_expenses</x:v>
      </x:c>
      <x:c r="B44" s="25" t="str">
        <x:v>2024</x:v>
      </x:c>
      <x:c r="C44" s="25" t="n">
        <x:v>22021</x:v>
      </x:c>
      <x:c r="D44" s="25" t="str">
        <x:v>PUBLIC_ACTUAL</x:v>
      </x:c>
      <x:c r="E44" s="25" t="str">
        <x:v>2024 10-K</x:v>
      </x:c>
      <x:c r="F44" s="25" t="str">
        <x:v>2025-02-14</x:v>
      </x:c>
      <x:c r="G44" s="25" t="str">
        <x:v>2025-02-14</x:v>
      </x:c>
      <x:c r="H44" s="25" t="str">
        <x:v>Transcribed from USCS selected income statement/statistical tables</x:v>
      </x:c>
      <x:c r="I44" s="25" t="str">
        <x:v>USD millions except billed business USD billions and operating ratios/counts</x:v>
      </x:c>
    </x:row>
    <x:row r="45">
      <x:c r="A45" s="25" t="str">
        <x:v>pretax_income</x:v>
      </x:c>
      <x:c r="B45" s="25" t="str">
        <x:v>2024</x:v>
      </x:c>
      <x:c r="C45" s="25" t="n">
        <x:v>6377</x:v>
      </x:c>
      <x:c r="D45" s="25" t="str">
        <x:v>PUBLIC_ACTUAL</x:v>
      </x:c>
      <x:c r="E45" s="25" t="str">
        <x:v>2024 10-K</x:v>
      </x:c>
      <x:c r="F45" s="25" t="str">
        <x:v>2025-02-14</x:v>
      </x:c>
      <x:c r="G45" s="25" t="str">
        <x:v>2025-02-14</x:v>
      </x:c>
      <x:c r="H45" s="25" t="str">
        <x:v>Transcribed from USCS selected income statement/statistical tables</x:v>
      </x:c>
      <x:c r="I45" s="25" t="str">
        <x:v>USD millions except billed business USD billions and operating ratios/counts</x:v>
      </x:c>
    </x:row>
    <x:row r="46">
      <x:c r="A46" s="25" t="str">
        <x:v>billed_business</x:v>
      </x:c>
      <x:c r="B46" s="25" t="str">
        <x:v>2024</x:v>
      </x:c>
      <x:c r="C46" s="25" t="n">
        <x:v>654.8</x:v>
      </x:c>
      <x:c r="D46" s="25" t="str">
        <x:v>PUBLIC_ACTUAL</x:v>
      </x:c>
      <x:c r="E46" s="25" t="str">
        <x:v>2024 10-K</x:v>
      </x:c>
      <x:c r="F46" s="25" t="str">
        <x:v>2025-02-14</x:v>
      </x:c>
      <x:c r="G46" s="25" t="str">
        <x:v>2025-02-14</x:v>
      </x:c>
      <x:c r="H46" s="25" t="str">
        <x:v>Transcribed from USCS selected income statement/statistical tables</x:v>
      </x:c>
      <x:c r="I46" s="25" t="str">
        <x:v>USD millions except billed business USD billions and operating ratios/counts</x:v>
      </x:c>
    </x:row>
    <x:row r="47">
      <x:c r="A47" s="25" t="str">
        <x:v>cards_in_force</x:v>
      </x:c>
      <x:c r="B47" s="25" t="str">
        <x:v>2024</x:v>
      </x:c>
      <x:c r="C47" s="25" t="n">
        <x:v>46.3</x:v>
      </x:c>
      <x:c r="D47" s="25" t="str">
        <x:v>PUBLIC_ACTUAL</x:v>
      </x:c>
      <x:c r="E47" s="25" t="str">
        <x:v>2024 10-K</x:v>
      </x:c>
      <x:c r="F47" s="25" t="str">
        <x:v>2025-02-14</x:v>
      </x:c>
      <x:c r="G47" s="25" t="str">
        <x:v>2025-02-14</x:v>
      </x:c>
      <x:c r="H47" s="25" t="str">
        <x:v>Transcribed from USCS selected income statement/statistical tables</x:v>
      </x:c>
      <x:c r="I47" s="25" t="str">
        <x:v>USD millions except billed business USD billions and operating ratios/counts</x:v>
      </x:c>
    </x:row>
    <x:row r="48">
      <x:c r="A48" s="25" t="str">
        <x:v>basic_cards</x:v>
      </x:c>
      <x:c r="B48" s="25" t="str">
        <x:v>2024</x:v>
      </x:c>
      <x:c r="C48" s="25" t="n">
        <x:v>32.5</x:v>
      </x:c>
      <x:c r="D48" s="25" t="str">
        <x:v>PUBLIC_ACTUAL</x:v>
      </x:c>
      <x:c r="E48" s="25" t="str">
        <x:v>2024 10-K</x:v>
      </x:c>
      <x:c r="F48" s="25" t="str">
        <x:v>2025-02-14</x:v>
      </x:c>
      <x:c r="G48" s="25" t="str">
        <x:v>2025-02-14</x:v>
      </x:c>
      <x:c r="H48" s="25" t="str">
        <x:v>Transcribed from USCS selected income statement/statistical tables</x:v>
      </x:c>
      <x:c r="I48" s="25" t="str">
        <x:v>USD millions except billed business USD billions and operating ratios/counts</x:v>
      </x:c>
    </x:row>
    <x:row r="49">
      <x:c r="A49" s="25" t="str">
        <x:v>spend_per_basic</x:v>
      </x:c>
      <x:c r="B49" s="25" t="str">
        <x:v>2024</x:v>
      </x:c>
      <x:c r="C49" s="25" t="n">
        <x:v>20707</x:v>
      </x:c>
      <x:c r="D49" s="25" t="str">
        <x:v>PUBLIC_ACTUAL</x:v>
      </x:c>
      <x:c r="E49" s="25" t="str">
        <x:v>2024 10-K</x:v>
      </x:c>
      <x:c r="F49" s="25" t="str">
        <x:v>2025-02-14</x:v>
      </x:c>
      <x:c r="G49" s="25" t="str">
        <x:v>2025-02-14</x:v>
      </x:c>
      <x:c r="H49" s="25" t="str">
        <x:v>Transcribed from USCS selected income statement/statistical tables</x:v>
      </x:c>
      <x:c r="I49" s="25" t="str">
        <x:v>USD millions except billed business USD billions and operating ratios/counts</x:v>
      </x:c>
    </x:row>
    <x:row r="50">
      <x:c r="A50" s="25" t="str">
        <x:v>loans_receivables</x:v>
      </x:c>
      <x:c r="B50" s="25" t="str">
        <x:v>2024</x:v>
      </x:c>
      <x:c r="C50" s="25" t="n">
        <x:v>107.051</x:v>
      </x:c>
      <x:c r="D50" s="25" t="str">
        <x:v>PUBLIC_ACTUAL</x:v>
      </x:c>
      <x:c r="E50" s="25" t="str">
        <x:v>2024 10-K</x:v>
      </x:c>
      <x:c r="F50" s="25" t="str">
        <x:v>2025-02-14</x:v>
      </x:c>
      <x:c r="G50" s="25" t="str">
        <x:v>2025-02-14</x:v>
      </x:c>
      <x:c r="H50" s="25" t="str">
        <x:v>Transcribed from USCS selected income statement/statistical tables</x:v>
      </x:c>
      <x:c r="I50" s="25" t="str">
        <x:v>USD millions except billed business USD billions and operating ratios/counts</x:v>
      </x:c>
    </x:row>
    <x:row r="51">
      <x:c r="A51" s="25" t="str">
        <x:v>nco_rate</x:v>
      </x:c>
      <x:c r="B51" s="25" t="str">
        <x:v>2024</x:v>
      </x:c>
      <x:c r="C51" s="25" t="n">
        <x:v>0.025</x:v>
      </x:c>
      <x:c r="D51" s="25" t="str">
        <x:v>PUBLIC_ACTUAL</x:v>
      </x:c>
      <x:c r="E51" s="25" t="str">
        <x:v>2024 10-K</x:v>
      </x:c>
      <x:c r="F51" s="25" t="str">
        <x:v>2025-02-14</x:v>
      </x:c>
      <x:c r="G51" s="25" t="str">
        <x:v>2025-02-14</x:v>
      </x:c>
      <x:c r="H51" s="25" t="str">
        <x:v>Transcribed from USCS selected income statement/statistical tables</x:v>
      </x:c>
      <x:c r="I51" s="25" t="str">
        <x:v>USD millions except billed business USD billions and operating ratios/counts</x:v>
      </x:c>
    </x:row>
    <x:row r="52">
      <x:c r="A52" s="25" t="str">
        <x:v>delinquency</x:v>
      </x:c>
      <x:c r="B52" s="25" t="str">
        <x:v>2024</x:v>
      </x:c>
      <x:c r="C52" s="25" t="n">
        <x:v>0.013</x:v>
      </x:c>
      <x:c r="D52" s="25" t="str">
        <x:v>PUBLIC_ACTUAL</x:v>
      </x:c>
      <x:c r="E52" s="25" t="str">
        <x:v>2024 10-K</x:v>
      </x:c>
      <x:c r="F52" s="25" t="str">
        <x:v>2025-02-14</x:v>
      </x:c>
      <x:c r="G52" s="25" t="str">
        <x:v>2025-02-14</x:v>
      </x:c>
      <x:c r="H52" s="25" t="str">
        <x:v>Transcribed from USCS selected income statement/statistical tables</x:v>
      </x:c>
      <x:c r="I52" s="25" t="str">
        <x:v>USD millions except billed business USD billions and operating ratios/counts</x:v>
      </x:c>
    </x:row>
    <x:row r="53">
      <x:c r="A53" s="25" t="str">
        <x:v>non_interest_revenue</x:v>
      </x:c>
      <x:c r="B53" s="25" t="str">
        <x:v>2025</x:v>
      </x:c>
      <x:c r="C53" s="25" t="n">
        <x:v>22307</x:v>
      </x:c>
      <x:c r="D53" s="25" t="str">
        <x:v>PUBLIC_ACTUAL</x:v>
      </x:c>
      <x:c r="E53" s="25" t="str">
        <x:v>2025 10-K</x:v>
      </x:c>
      <x:c r="F53" s="25" t="str">
        <x:v>2026-02-13</x:v>
      </x:c>
      <x:c r="G53" s="25" t="str">
        <x:v>2026-02-13</x:v>
      </x:c>
      <x:c r="H53" s="25" t="str">
        <x:v>Transcribed from USCS selected income statement/statistical tables</x:v>
      </x:c>
      <x:c r="I53" s="25" t="str">
        <x:v>USD millions except billed business USD billions and operating ratios/counts</x:v>
      </x:c>
    </x:row>
    <x:row r="54">
      <x:c r="A54" s="25" t="str">
        <x:v>net_interest_income</x:v>
      </x:c>
      <x:c r="B54" s="25" t="str">
        <x:v>2025</x:v>
      </x:c>
      <x:c r="C54" s="25" t="n">
        <x:v>12507</x:v>
      </x:c>
      <x:c r="D54" s="25" t="str">
        <x:v>PUBLIC_ACTUAL</x:v>
      </x:c>
      <x:c r="E54" s="25" t="str">
        <x:v>2025 10-K</x:v>
      </x:c>
      <x:c r="F54" s="25" t="str">
        <x:v>2026-02-13</x:v>
      </x:c>
      <x:c r="G54" s="25" t="str">
        <x:v>2026-02-13</x:v>
      </x:c>
      <x:c r="H54" s="25" t="str">
        <x:v>Transcribed from USCS selected income statement/statistical tables</x:v>
      </x:c>
      <x:c r="I54" s="25" t="str">
        <x:v>USD millions except billed business USD billions and operating ratios/counts</x:v>
      </x:c>
    </x:row>
    <x:row r="55">
      <x:c r="A55" s="25" t="str">
        <x:v>total_revenue</x:v>
      </x:c>
      <x:c r="B55" s="25" t="str">
        <x:v>2025</x:v>
      </x:c>
      <x:c r="C55" s="25" t="n">
        <x:v>34814</x:v>
      </x:c>
      <x:c r="D55" s="25" t="str">
        <x:v>PUBLIC_ACTUAL</x:v>
      </x:c>
      <x:c r="E55" s="25" t="str">
        <x:v>2025 10-K</x:v>
      </x:c>
      <x:c r="F55" s="25" t="str">
        <x:v>2026-02-13</x:v>
      </x:c>
      <x:c r="G55" s="25" t="str">
        <x:v>2026-02-13</x:v>
      </x:c>
      <x:c r="H55" s="25" t="str">
        <x:v>Transcribed from USCS selected income statement/statistical tables</x:v>
      </x:c>
      <x:c r="I55" s="25" t="str">
        <x:v>USD millions except billed business USD billions and operating ratios/counts</x:v>
      </x:c>
    </x:row>
    <x:row r="56">
      <x:c r="A56" s="25" t="str">
        <x:v>provision</x:v>
      </x:c>
      <x:c r="B56" s="25" t="str">
        <x:v>2025</x:v>
      </x:c>
      <x:c r="C56" s="25" t="n">
        <x:v>2967</x:v>
      </x:c>
      <x:c r="D56" s="25" t="str">
        <x:v>PUBLIC_ACTUAL</x:v>
      </x:c>
      <x:c r="E56" s="25" t="str">
        <x:v>2025 10-K</x:v>
      </x:c>
      <x:c r="F56" s="25" t="str">
        <x:v>2026-02-13</x:v>
      </x:c>
      <x:c r="G56" s="25" t="str">
        <x:v>2026-02-13</x:v>
      </x:c>
      <x:c r="H56" s="25" t="str">
        <x:v>Transcribed from USCS selected income statement/statistical tables</x:v>
      </x:c>
      <x:c r="I56" s="25" t="str">
        <x:v>USD millions except billed business USD billions and operating ratios/counts</x:v>
      </x:c>
    </x:row>
    <x:row r="57">
      <x:c r="A57" s="25" t="str">
        <x:v>rewards_services</x:v>
      </x:c>
      <x:c r="B57" s="25" t="str">
        <x:v>2025</x:v>
      </x:c>
      <x:c r="C57" s="25" t="n">
        <x:v>16557</x:v>
      </x:c>
      <x:c r="D57" s="25" t="str">
        <x:v>PUBLIC_ACTUAL</x:v>
      </x:c>
      <x:c r="E57" s="25" t="str">
        <x:v>2025 10-K</x:v>
      </x:c>
      <x:c r="F57" s="25" t="str">
        <x:v>2026-02-13</x:v>
      </x:c>
      <x:c r="G57" s="25" t="str">
        <x:v>2026-02-13</x:v>
      </x:c>
      <x:c r="H57" s="25" t="str">
        <x:v>Transcribed from USCS selected income statement/statistical tables</x:v>
      </x:c>
      <x:c r="I57" s="25" t="str">
        <x:v>USD millions except billed business USD billions and operating ratios/counts</x:v>
      </x:c>
    </x:row>
    <x:row r="58">
      <x:c r="A58" s="25" t="str">
        <x:v>marketing</x:v>
      </x:c>
      <x:c r="B58" s="25" t="str">
        <x:v>2025</x:v>
      </x:c>
      <x:c r="C58" s="25" t="n">
        <x:v>3187</x:v>
      </x:c>
      <x:c r="D58" s="25" t="str">
        <x:v>PUBLIC_ACTUAL</x:v>
      </x:c>
      <x:c r="E58" s="25" t="str">
        <x:v>2025 10-K</x:v>
      </x:c>
      <x:c r="F58" s="25" t="str">
        <x:v>2026-02-13</x:v>
      </x:c>
      <x:c r="G58" s="25" t="str">
        <x:v>2026-02-13</x:v>
      </x:c>
      <x:c r="H58" s="25" t="str">
        <x:v>Transcribed from USCS selected income statement/statistical tables</x:v>
      </x:c>
      <x:c r="I58" s="25" t="str">
        <x:v>USD millions except billed business USD billions and operating ratios/counts</x:v>
      </x:c>
    </x:row>
    <x:row r="59">
      <x:c r="A59" s="25" t="str">
        <x:v>salaries_other</x:v>
      </x:c>
      <x:c r="B59" s="25" t="str">
        <x:v>2025</x:v>
      </x:c>
      <x:c r="C59" s="25" t="n">
        <x:v>5293</x:v>
      </x:c>
      <x:c r="D59" s="25" t="str">
        <x:v>PUBLIC_ACTUAL</x:v>
      </x:c>
      <x:c r="E59" s="25" t="str">
        <x:v>2025 10-K</x:v>
      </x:c>
      <x:c r="F59" s="25" t="str">
        <x:v>2026-02-13</x:v>
      </x:c>
      <x:c r="G59" s="25" t="str">
        <x:v>2026-02-13</x:v>
      </x:c>
      <x:c r="H59" s="25" t="str">
        <x:v>Transcribed from USCS selected income statement/statistical tables</x:v>
      </x:c>
      <x:c r="I59" s="25" t="str">
        <x:v>USD millions except billed business USD billions and operating ratios/counts</x:v>
      </x:c>
    </x:row>
    <x:row r="60">
      <x:c r="A60" s="25" t="str">
        <x:v>total_expenses</x:v>
      </x:c>
      <x:c r="B60" s="25" t="str">
        <x:v>2025</x:v>
      </x:c>
      <x:c r="C60" s="25" t="n">
        <x:v>25037</x:v>
      </x:c>
      <x:c r="D60" s="25" t="str">
        <x:v>PUBLIC_ACTUAL</x:v>
      </x:c>
      <x:c r="E60" s="25" t="str">
        <x:v>2025 10-K</x:v>
      </x:c>
      <x:c r="F60" s="25" t="str">
        <x:v>2026-02-13</x:v>
      </x:c>
      <x:c r="G60" s="25" t="str">
        <x:v>2026-02-13</x:v>
      </x:c>
      <x:c r="H60" s="25" t="str">
        <x:v>Transcribed from USCS selected income statement/statistical tables</x:v>
      </x:c>
      <x:c r="I60" s="25" t="str">
        <x:v>USD millions except billed business USD billions and operating ratios/counts</x:v>
      </x:c>
    </x:row>
    <x:row r="61">
      <x:c r="A61" s="25" t="str">
        <x:v>pretax_income</x:v>
      </x:c>
      <x:c r="B61" s="25" t="str">
        <x:v>2025</x:v>
      </x:c>
      <x:c r="C61" s="25" t="n">
        <x:v>6810</x:v>
      </x:c>
      <x:c r="D61" s="25" t="str">
        <x:v>PUBLIC_ACTUAL</x:v>
      </x:c>
      <x:c r="E61" s="25" t="str">
        <x:v>2025 10-K</x:v>
      </x:c>
      <x:c r="F61" s="25" t="str">
        <x:v>2026-02-13</x:v>
      </x:c>
      <x:c r="G61" s="25" t="str">
        <x:v>2026-02-13</x:v>
      </x:c>
      <x:c r="H61" s="25" t="str">
        <x:v>Transcribed from USCS selected income statement/statistical tables</x:v>
      </x:c>
      <x:c r="I61" s="25" t="str">
        <x:v>USD millions except billed business USD billions and operating ratios/counts</x:v>
      </x:c>
    </x:row>
    <x:row r="62">
      <x:c r="A62" s="25" t="str">
        <x:v>billed_business</x:v>
      </x:c>
      <x:c r="B62" s="25" t="str">
        <x:v>2025</x:v>
      </x:c>
      <x:c r="C62" s="25" t="n">
        <x:v>707.5</x:v>
      </x:c>
      <x:c r="D62" s="25" t="str">
        <x:v>PUBLIC_ACTUAL</x:v>
      </x:c>
      <x:c r="E62" s="25" t="str">
        <x:v>2025 10-K</x:v>
      </x:c>
      <x:c r="F62" s="25" t="str">
        <x:v>2026-02-13</x:v>
      </x:c>
      <x:c r="G62" s="25" t="str">
        <x:v>2026-02-13</x:v>
      </x:c>
      <x:c r="H62" s="25" t="str">
        <x:v>Transcribed from USCS selected income statement/statistical tables</x:v>
      </x:c>
      <x:c r="I62" s="25" t="str">
        <x:v>USD millions except billed business USD billions and operating ratios/counts</x:v>
      </x:c>
    </x:row>
    <x:row r="63">
      <x:c r="A63" s="25" t="str">
        <x:v>cards_in_force</x:v>
      </x:c>
      <x:c r="B63" s="25" t="str">
        <x:v>2025</x:v>
      </x:c>
      <x:c r="C63" s="25" t="n">
        <x:v>48.3</x:v>
      </x:c>
      <x:c r="D63" s="25" t="str">
        <x:v>PUBLIC_ACTUAL</x:v>
      </x:c>
      <x:c r="E63" s="25" t="str">
        <x:v>2025 10-K</x:v>
      </x:c>
      <x:c r="F63" s="25" t="str">
        <x:v>2026-02-13</x:v>
      </x:c>
      <x:c r="G63" s="25" t="str">
        <x:v>2026-02-13</x:v>
      </x:c>
      <x:c r="H63" s="25" t="str">
        <x:v>Transcribed from USCS selected income statement/statistical tables</x:v>
      </x:c>
      <x:c r="I63" s="25" t="str">
        <x:v>USD millions except billed business USD billions and operating ratios/counts</x:v>
      </x:c>
    </x:row>
    <x:row r="64">
      <x:c r="A64" s="25" t="str">
        <x:v>basic_cards</x:v>
      </x:c>
      <x:c r="B64" s="25" t="str">
        <x:v>2025</x:v>
      </x:c>
      <x:c r="C64" s="25" t="n">
        <x:v>34.1</x:v>
      </x:c>
      <x:c r="D64" s="25" t="str">
        <x:v>PUBLIC_ACTUAL</x:v>
      </x:c>
      <x:c r="E64" s="25" t="str">
        <x:v>2025 10-K</x:v>
      </x:c>
      <x:c r="F64" s="25" t="str">
        <x:v>2026-02-13</x:v>
      </x:c>
      <x:c r="G64" s="25" t="str">
        <x:v>2026-02-13</x:v>
      </x:c>
      <x:c r="H64" s="25" t="str">
        <x:v>Transcribed from USCS selected income statement/statistical tables</x:v>
      </x:c>
      <x:c r="I64" s="25" t="str">
        <x:v>USD millions except billed business USD billions and operating ratios/counts</x:v>
      </x:c>
    </x:row>
    <x:row r="65">
      <x:c r="A65" s="25" t="str">
        <x:v>spend_per_basic</x:v>
      </x:c>
      <x:c r="B65" s="25" t="str">
        <x:v>2025</x:v>
      </x:c>
      <x:c r="C65" s="25" t="n">
        <x:v>21215</x:v>
      </x:c>
      <x:c r="D65" s="25" t="str">
        <x:v>PUBLIC_ACTUAL</x:v>
      </x:c>
      <x:c r="E65" s="25" t="str">
        <x:v>2025 10-K</x:v>
      </x:c>
      <x:c r="F65" s="25" t="str">
        <x:v>2026-02-13</x:v>
      </x:c>
      <x:c r="G65" s="25" t="str">
        <x:v>2026-02-13</x:v>
      </x:c>
      <x:c r="H65" s="25" t="str">
        <x:v>Transcribed from USCS selected income statement/statistical tables</x:v>
      </x:c>
      <x:c r="I65" s="25" t="str">
        <x:v>USD millions except billed business USD billions and operating ratios/counts</x:v>
      </x:c>
    </x:row>
    <x:row r="66">
      <x:c r="A66" s="25" t="str">
        <x:v>loans_receivables</x:v>
      </x:c>
      <x:c r="B66" s="25" t="str">
        <x:v>2025</x:v>
      </x:c>
      <x:c r="C66" s="25" t="n">
        <x:v>114.368</x:v>
      </x:c>
      <x:c r="D66" s="25" t="str">
        <x:v>PUBLIC_ACTUAL</x:v>
      </x:c>
      <x:c r="E66" s="25" t="str">
        <x:v>2025 10-K</x:v>
      </x:c>
      <x:c r="F66" s="25" t="str">
        <x:v>2026-02-13</x:v>
      </x:c>
      <x:c r="G66" s="25" t="str">
        <x:v>2026-02-13</x:v>
      </x:c>
      <x:c r="H66" s="25" t="str">
        <x:v>Transcribed from USCS selected income statement/statistical tables</x:v>
      </x:c>
      <x:c r="I66" s="25" t="str">
        <x:v>USD millions except billed business USD billions and operating ratios/counts</x:v>
      </x:c>
    </x:row>
    <x:row r="67">
      <x:c r="A67" s="25" t="str">
        <x:v>nco_rate</x:v>
      </x:c>
      <x:c r="B67" s="25" t="str">
        <x:v>2025</x:v>
      </x:c>
      <x:c r="C67" s="25" t="n">
        <x:v>0.025</x:v>
      </x:c>
      <x:c r="D67" s="25" t="str">
        <x:v>PUBLIC_ACTUAL</x:v>
      </x:c>
      <x:c r="E67" s="25" t="str">
        <x:v>2025 10-K</x:v>
      </x:c>
      <x:c r="F67" s="25" t="str">
        <x:v>2026-02-13</x:v>
      </x:c>
      <x:c r="G67" s="25" t="str">
        <x:v>2026-02-13</x:v>
      </x:c>
      <x:c r="H67" s="25" t="str">
        <x:v>Transcribed from USCS selected income statement/statistical tables</x:v>
      </x:c>
      <x:c r="I67" s="25" t="str">
        <x:v>USD millions except billed business USD billions and operating ratios/counts</x:v>
      </x:c>
    </x:row>
    <x:row r="68">
      <x:c r="A68" s="25" t="str">
        <x:v>delinquency</x:v>
      </x:c>
      <x:c r="B68" s="25" t="str">
        <x:v>2025</x:v>
      </x:c>
      <x:c r="C68" s="25" t="n">
        <x:v>0.013</x:v>
      </x:c>
      <x:c r="D68" s="25" t="str">
        <x:v>PUBLIC_ACTUAL</x:v>
      </x:c>
      <x:c r="E68" s="25" t="str">
        <x:v>2025 10-K</x:v>
      </x:c>
      <x:c r="F68" s="25" t="str">
        <x:v>2026-02-13</x:v>
      </x:c>
      <x:c r="G68" s="25" t="str">
        <x:v>2026-02-13</x:v>
      </x:c>
      <x:c r="H68" s="25" t="str">
        <x:v>Transcribed from USCS selected income statement/statistical tables</x:v>
      </x:c>
      <x:c r="I68" s="25" t="str">
        <x:v>USD millions except billed business USD billions and operating ratios/counts</x:v>
      </x:c>
    </x:row>
    <x:row r="69">
      <x:c r="A69" s="25" t="str">
        <x:v>total_revenue</x:v>
      </x:c>
      <x:c r="B69" s="25" t="str">
        <x:v>2025Q1</x:v>
      </x:c>
      <x:c r="C69" s="25" t="n">
        <x:v>8249</x:v>
      </x:c>
      <x:c r="D69" s="25" t="str">
        <x:v>PUBLIC_ACTUAL</x:v>
      </x:c>
      <x:c r="E69" s="25" t="str">
        <x:v>Q4 2025 earnings tables</x:v>
      </x:c>
      <x:c r="F69" s="25" t="str">
        <x:v>2026-01-30</x:v>
      </x:c>
      <x:c r="G69" s="25" t="str">
        <x:v>2026-01-30</x:v>
      </x:c>
      <x:c r="H69" s="25" t="str">
        <x:v>Direct transcription from USCS quarterly table</x:v>
      </x:c>
      <x:c r="I69" s="25" t="str">
        <x:v>Public quarterly actual</x:v>
      </x:c>
    </x:row>
    <x:row r="70">
      <x:c r="A70" s="25" t="str">
        <x:v>provision</x:v>
      </x:c>
      <x:c r="B70" s="25" t="str">
        <x:v>2025Q1</x:v>
      </x:c>
      <x:c r="C70" s="25" t="n">
        <x:v>631</x:v>
      </x:c>
      <x:c r="D70" s="25" t="str">
        <x:v>PUBLIC_ACTUAL</x:v>
      </x:c>
      <x:c r="E70" s="25" t="str">
        <x:v>Q4 2025 earnings tables</x:v>
      </x:c>
      <x:c r="F70" s="25" t="str">
        <x:v>2026-01-30</x:v>
      </x:c>
      <x:c r="G70" s="25" t="str">
        <x:v>2026-01-30</x:v>
      </x:c>
      <x:c r="H70" s="25" t="str">
        <x:v>Direct transcription from USCS quarterly table</x:v>
      </x:c>
      <x:c r="I70" s="25" t="str">
        <x:v>Public quarterly actual</x:v>
      </x:c>
    </x:row>
    <x:row r="71">
      <x:c r="A71" s="25" t="str">
        <x:v>rewards_services</x:v>
      </x:c>
      <x:c r="B71" s="25" t="str">
        <x:v>2025Q1</x:v>
      </x:c>
      <x:c r="C71" s="25" t="n">
        <x:v>3882</x:v>
      </x:c>
      <x:c r="D71" s="25" t="str">
        <x:v>PUBLIC_ACTUAL</x:v>
      </x:c>
      <x:c r="E71" s="25" t="str">
        <x:v>Q4 2025 earnings tables</x:v>
      </x:c>
      <x:c r="F71" s="25" t="str">
        <x:v>2026-01-30</x:v>
      </x:c>
      <x:c r="G71" s="25" t="str">
        <x:v>2026-01-30</x:v>
      </x:c>
      <x:c r="H71" s="25" t="str">
        <x:v>Direct transcription from USCS quarterly table</x:v>
      </x:c>
      <x:c r="I71" s="25" t="str">
        <x:v>Public quarterly actual</x:v>
      </x:c>
    </x:row>
    <x:row r="72">
      <x:c r="A72" s="25" t="str">
        <x:v>marketing</x:v>
      </x:c>
      <x:c r="B72" s="25" t="str">
        <x:v>2025Q1</x:v>
      </x:c>
      <x:c r="C72" s="25" t="n">
        <x:v>765</x:v>
      </x:c>
      <x:c r="D72" s="25" t="str">
        <x:v>PUBLIC_ACTUAL</x:v>
      </x:c>
      <x:c r="E72" s="25" t="str">
        <x:v>Q4 2025 earnings tables</x:v>
      </x:c>
      <x:c r="F72" s="25" t="str">
        <x:v>2026-01-30</x:v>
      </x:c>
      <x:c r="G72" s="25" t="str">
        <x:v>2026-01-30</x:v>
      </x:c>
      <x:c r="H72" s="25" t="str">
        <x:v>Direct transcription from USCS quarterly table</x:v>
      </x:c>
      <x:c r="I72" s="25" t="str">
        <x:v>Public quarterly actual</x:v>
      </x:c>
    </x:row>
    <x:row r="73">
      <x:c r="A73" s="25" t="str">
        <x:v>salaries_other</x:v>
      </x:c>
      <x:c r="B73" s="25" t="str">
        <x:v>2025Q1</x:v>
      </x:c>
      <x:c r="C73" s="25" t="n">
        <x:v>1239</x:v>
      </x:c>
      <x:c r="D73" s="25" t="str">
        <x:v>PUBLIC_ACTUAL</x:v>
      </x:c>
      <x:c r="E73" s="25" t="str">
        <x:v>Q4 2025 earnings tables</x:v>
      </x:c>
      <x:c r="F73" s="25" t="str">
        <x:v>2026-01-30</x:v>
      </x:c>
      <x:c r="G73" s="25" t="str">
        <x:v>2026-01-30</x:v>
      </x:c>
      <x:c r="H73" s="25" t="str">
        <x:v>Direct transcription from USCS quarterly table</x:v>
      </x:c>
      <x:c r="I73" s="25" t="str">
        <x:v>Public quarterly actual</x:v>
      </x:c>
    </x:row>
    <x:row r="74">
      <x:c r="A74" s="25" t="str">
        <x:v>pretax_income</x:v>
      </x:c>
      <x:c r="B74" s="25" t="str">
        <x:v>2025Q1</x:v>
      </x:c>
      <x:c r="C74" s="25" t="n">
        <x:v>1732</x:v>
      </x:c>
      <x:c r="D74" s="25" t="str">
        <x:v>PUBLIC_ACTUAL</x:v>
      </x:c>
      <x:c r="E74" s="25" t="str">
        <x:v>Q4 2025 earnings tables</x:v>
      </x:c>
      <x:c r="F74" s="25" t="str">
        <x:v>2026-01-30</x:v>
      </x:c>
      <x:c r="G74" s="25" t="str">
        <x:v>2026-01-30</x:v>
      </x:c>
      <x:c r="H74" s="25" t="str">
        <x:v>Direct transcription from USCS quarterly table</x:v>
      </x:c>
      <x:c r="I74" s="25" t="str">
        <x:v>Public quarterly actual</x:v>
      </x:c>
    </x:row>
    <x:row r="75">
      <x:c r="A75" s="25" t="str">
        <x:v>billed_business</x:v>
      </x:c>
      <x:c r="B75" s="25" t="str">
        <x:v>2025Q1</x:v>
      </x:c>
      <x:c r="C75" s="25" t="n">
        <x:v>164.3</x:v>
      </x:c>
      <x:c r="D75" s="25" t="str">
        <x:v>PUBLIC_ACTUAL</x:v>
      </x:c>
      <x:c r="E75" s="25" t="str">
        <x:v>Q4 2025 earnings tables</x:v>
      </x:c>
      <x:c r="F75" s="25" t="str">
        <x:v>2026-01-30</x:v>
      </x:c>
      <x:c r="G75" s="25" t="str">
        <x:v>2026-01-30</x:v>
      </x:c>
      <x:c r="H75" s="25" t="str">
        <x:v>Direct transcription from USCS quarterly table</x:v>
      </x:c>
      <x:c r="I75" s="25" t="str">
        <x:v>Public quarterly actual</x:v>
      </x:c>
    </x:row>
    <x:row r="76">
      <x:c r="A76" s="25" t="str">
        <x:v>card_balances</x:v>
      </x:c>
      <x:c r="B76" s="25" t="str">
        <x:v>2025Q1</x:v>
      </x:c>
      <x:c r="C76" s="25" t="n">
        <x:v>102.896</x:v>
      </x:c>
      <x:c r="D76" s="25" t="str">
        <x:v>PUBLIC_ACTUAL</x:v>
      </x:c>
      <x:c r="E76" s="25" t="str">
        <x:v>Q4 2025 earnings tables</x:v>
      </x:c>
      <x:c r="F76" s="25" t="str">
        <x:v>2026-01-30</x:v>
      </x:c>
      <x:c r="G76" s="25" t="str">
        <x:v>2026-01-30</x:v>
      </x:c>
      <x:c r="H76" s="25" t="str">
        <x:v>Direct transcription from USCS quarterly table</x:v>
      </x:c>
      <x:c r="I76" s="25" t="str">
        <x:v>Public quarterly actual</x:v>
      </x:c>
    </x:row>
    <x:row r="77">
      <x:c r="A77" s="25" t="str">
        <x:v>nco_rate</x:v>
      </x:c>
      <x:c r="B77" s="25" t="str">
        <x:v>2025Q1</x:v>
      </x:c>
      <x:c r="C77" s="25" t="n">
        <x:v>0.027</x:v>
      </x:c>
      <x:c r="D77" s="25" t="str">
        <x:v>PUBLIC_ACTUAL</x:v>
      </x:c>
      <x:c r="E77" s="25" t="str">
        <x:v>Q4 2025 earnings tables</x:v>
      </x:c>
      <x:c r="F77" s="25" t="str">
        <x:v>2026-01-30</x:v>
      </x:c>
      <x:c r="G77" s="25" t="str">
        <x:v>2026-01-30</x:v>
      </x:c>
      <x:c r="H77" s="25" t="str">
        <x:v>Direct transcription from USCS quarterly table</x:v>
      </x:c>
      <x:c r="I77" s="25" t="str">
        <x:v>Public quarterly actual</x:v>
      </x:c>
    </x:row>
    <x:row r="78">
      <x:c r="A78" s="25" t="str">
        <x:v>delinquency</x:v>
      </x:c>
      <x:c r="B78" s="25" t="str">
        <x:v>2025Q1</x:v>
      </x:c>
      <x:c r="C78" s="25" t="n">
        <x:v>0.013</x:v>
      </x:c>
      <x:c r="D78" s="25" t="str">
        <x:v>PUBLIC_ACTUAL</x:v>
      </x:c>
      <x:c r="E78" s="25" t="str">
        <x:v>Q4 2025 earnings tables</x:v>
      </x:c>
      <x:c r="F78" s="25" t="str">
        <x:v>2026-01-30</x:v>
      </x:c>
      <x:c r="G78" s="25" t="str">
        <x:v>2026-01-30</x:v>
      </x:c>
      <x:c r="H78" s="25" t="str">
        <x:v>Direct transcription from USCS quarterly table</x:v>
      </x:c>
      <x:c r="I78" s="25" t="str">
        <x:v>Public quarterly actual</x:v>
      </x:c>
    </x:row>
    <x:row r="79">
      <x:c r="A79" s="25" t="str">
        <x:v>total_revenue</x:v>
      </x:c>
      <x:c r="B79" s="25" t="str">
        <x:v>2025Q2</x:v>
      </x:c>
      <x:c r="C79" s="25" t="n">
        <x:v>8553</x:v>
      </x:c>
      <x:c r="D79" s="25" t="str">
        <x:v>PUBLIC_ACTUAL</x:v>
      </x:c>
      <x:c r="E79" s="25" t="str">
        <x:v>Q4 2025 earnings tables</x:v>
      </x:c>
      <x:c r="F79" s="25" t="str">
        <x:v>2026-01-30</x:v>
      </x:c>
      <x:c r="G79" s="25" t="str">
        <x:v>2026-01-30</x:v>
      </x:c>
      <x:c r="H79" s="25" t="str">
        <x:v>Direct transcription from USCS quarterly table</x:v>
      </x:c>
      <x:c r="I79" s="25" t="str">
        <x:v>Public quarterly actual</x:v>
      </x:c>
    </x:row>
    <x:row r="80">
      <x:c r="A80" s="25" t="str">
        <x:v>provision</x:v>
      </x:c>
      <x:c r="B80" s="25" t="str">
        <x:v>2025Q2</x:v>
      </x:c>
      <x:c r="C80" s="25" t="n">
        <x:v>829</x:v>
      </x:c>
      <x:c r="D80" s="25" t="str">
        <x:v>PUBLIC_ACTUAL</x:v>
      </x:c>
      <x:c r="E80" s="25" t="str">
        <x:v>Q4 2025 earnings tables</x:v>
      </x:c>
      <x:c r="F80" s="25" t="str">
        <x:v>2026-01-30</x:v>
      </x:c>
      <x:c r="G80" s="25" t="str">
        <x:v>2026-01-30</x:v>
      </x:c>
      <x:c r="H80" s="25" t="str">
        <x:v>Direct transcription from USCS quarterly table</x:v>
      </x:c>
      <x:c r="I80" s="25" t="str">
        <x:v>Public quarterly actual</x:v>
      </x:c>
    </x:row>
    <x:row r="81">
      <x:c r="A81" s="25" t="str">
        <x:v>rewards_services</x:v>
      </x:c>
      <x:c r="B81" s="25" t="str">
        <x:v>2025Q2</x:v>
      </x:c>
      <x:c r="C81" s="25" t="n">
        <x:v>3967</x:v>
      </x:c>
      <x:c r="D81" s="25" t="str">
        <x:v>PUBLIC_ACTUAL</x:v>
      </x:c>
      <x:c r="E81" s="25" t="str">
        <x:v>Q4 2025 earnings tables</x:v>
      </x:c>
      <x:c r="F81" s="25" t="str">
        <x:v>2026-01-30</x:v>
      </x:c>
      <x:c r="G81" s="25" t="str">
        <x:v>2026-01-30</x:v>
      </x:c>
      <x:c r="H81" s="25" t="str">
        <x:v>Direct transcription from USCS quarterly table</x:v>
      </x:c>
      <x:c r="I81" s="25" t="str">
        <x:v>Public quarterly actual</x:v>
      </x:c>
    </x:row>
    <x:row r="82">
      <x:c r="A82" s="25" t="str">
        <x:v>marketing</x:v>
      </x:c>
      <x:c r="B82" s="25" t="str">
        <x:v>2025Q2</x:v>
      </x:c>
      <x:c r="C82" s="25" t="n">
        <x:v>800</x:v>
      </x:c>
      <x:c r="D82" s="25" t="str">
        <x:v>PUBLIC_ACTUAL</x:v>
      </x:c>
      <x:c r="E82" s="25" t="str">
        <x:v>Q4 2025 earnings tables</x:v>
      </x:c>
      <x:c r="F82" s="25" t="str">
        <x:v>2026-01-30</x:v>
      </x:c>
      <x:c r="G82" s="25" t="str">
        <x:v>2026-01-30</x:v>
      </x:c>
      <x:c r="H82" s="25" t="str">
        <x:v>Direct transcription from USCS quarterly table</x:v>
      </x:c>
      <x:c r="I82" s="25" t="str">
        <x:v>Public quarterly actual</x:v>
      </x:c>
    </x:row>
    <x:row r="83">
      <x:c r="A83" s="25" t="str">
        <x:v>salaries_other</x:v>
      </x:c>
      <x:c r="B83" s="25" t="str">
        <x:v>2025Q2</x:v>
      </x:c>
      <x:c r="C83" s="25" t="n">
        <x:v>1281</x:v>
      </x:c>
      <x:c r="D83" s="25" t="str">
        <x:v>PUBLIC_ACTUAL</x:v>
      </x:c>
      <x:c r="E83" s="25" t="str">
        <x:v>Q4 2025 earnings tables</x:v>
      </x:c>
      <x:c r="F83" s="25" t="str">
        <x:v>2026-01-30</x:v>
      </x:c>
      <x:c r="G83" s="25" t="str">
        <x:v>2026-01-30</x:v>
      </x:c>
      <x:c r="H83" s="25" t="str">
        <x:v>Direct transcription from USCS quarterly table</x:v>
      </x:c>
      <x:c r="I83" s="25" t="str">
        <x:v>Public quarterly actual</x:v>
      </x:c>
    </x:row>
    <x:row r="84">
      <x:c r="A84" s="25" t="str">
        <x:v>pretax_income</x:v>
      </x:c>
      <x:c r="B84" s="25" t="str">
        <x:v>2025Q2</x:v>
      </x:c>
      <x:c r="C84" s="25" t="n">
        <x:v>1676</x:v>
      </x:c>
      <x:c r="D84" s="25" t="str">
        <x:v>PUBLIC_ACTUAL</x:v>
      </x:c>
      <x:c r="E84" s="25" t="str">
        <x:v>Q4 2025 earnings tables</x:v>
      </x:c>
      <x:c r="F84" s="25" t="str">
        <x:v>2026-01-30</x:v>
      </x:c>
      <x:c r="G84" s="25" t="str">
        <x:v>2026-01-30</x:v>
      </x:c>
      <x:c r="H84" s="25" t="str">
        <x:v>Direct transcription from USCS quarterly table</x:v>
      </x:c>
      <x:c r="I84" s="25" t="str">
        <x:v>Public quarterly actual</x:v>
      </x:c>
    </x:row>
    <x:row r="85">
      <x:c r="A85" s="25" t="str">
        <x:v>billed_business</x:v>
      </x:c>
      <x:c r="B85" s="25" t="str">
        <x:v>2025Q2</x:v>
      </x:c>
      <x:c r="C85" s="25" t="n">
        <x:v>176.5</x:v>
      </x:c>
      <x:c r="D85" s="25" t="str">
        <x:v>PUBLIC_ACTUAL</x:v>
      </x:c>
      <x:c r="E85" s="25" t="str">
        <x:v>Q4 2025 earnings tables</x:v>
      </x:c>
      <x:c r="F85" s="25" t="str">
        <x:v>2026-01-30</x:v>
      </x:c>
      <x:c r="G85" s="25" t="str">
        <x:v>2026-01-30</x:v>
      </x:c>
      <x:c r="H85" s="25" t="str">
        <x:v>Direct transcription from USCS quarterly table</x:v>
      </x:c>
      <x:c r="I85" s="25" t="str">
        <x:v>Public quarterly actual</x:v>
      </x:c>
    </x:row>
    <x:row r="86">
      <x:c r="A86" s="25" t="str">
        <x:v>card_balances</x:v>
      </x:c>
      <x:c r="B86" s="25" t="str">
        <x:v>2025Q2</x:v>
      </x:c>
      <x:c r="C86" s="25" t="n">
        <x:v>105.784</x:v>
      </x:c>
      <x:c r="D86" s="25" t="str">
        <x:v>PUBLIC_ACTUAL</x:v>
      </x:c>
      <x:c r="E86" s="25" t="str">
        <x:v>Q4 2025 earnings tables</x:v>
      </x:c>
      <x:c r="F86" s="25" t="str">
        <x:v>2026-01-30</x:v>
      </x:c>
      <x:c r="G86" s="25" t="str">
        <x:v>2026-01-30</x:v>
      </x:c>
      <x:c r="H86" s="25" t="str">
        <x:v>Direct transcription from USCS quarterly table</x:v>
      </x:c>
      <x:c r="I86" s="25" t="str">
        <x:v>Public quarterly actual</x:v>
      </x:c>
    </x:row>
    <x:row r="87">
      <x:c r="A87" s="25" t="str">
        <x:v>nco_rate</x:v>
      </x:c>
      <x:c r="B87" s="25" t="str">
        <x:v>2025Q2</x:v>
      </x:c>
      <x:c r="C87" s="25" t="n">
        <x:v>0.024</x:v>
      </x:c>
      <x:c r="D87" s="25" t="str">
        <x:v>PUBLIC_ACTUAL</x:v>
      </x:c>
      <x:c r="E87" s="25" t="str">
        <x:v>Q4 2025 earnings tables</x:v>
      </x:c>
      <x:c r="F87" s="25" t="str">
        <x:v>2026-01-30</x:v>
      </x:c>
      <x:c r="G87" s="25" t="str">
        <x:v>2026-01-30</x:v>
      </x:c>
      <x:c r="H87" s="25" t="str">
        <x:v>Direct transcription from USCS quarterly table</x:v>
      </x:c>
      <x:c r="I87" s="25" t="str">
        <x:v>Public quarterly actual</x:v>
      </x:c>
    </x:row>
    <x:row r="88">
      <x:c r="A88" s="25" t="str">
        <x:v>delinquency</x:v>
      </x:c>
      <x:c r="B88" s="25" t="str">
        <x:v>2025Q2</x:v>
      </x:c>
      <x:c r="C88" s="25" t="n">
        <x:v>0.012</x:v>
      </x:c>
      <x:c r="D88" s="25" t="str">
        <x:v>PUBLIC_ACTUAL</x:v>
      </x:c>
      <x:c r="E88" s="25" t="str">
        <x:v>Q4 2025 earnings tables</x:v>
      </x:c>
      <x:c r="F88" s="25" t="str">
        <x:v>2026-01-30</x:v>
      </x:c>
      <x:c r="G88" s="25" t="str">
        <x:v>2026-01-30</x:v>
      </x:c>
      <x:c r="H88" s="25" t="str">
        <x:v>Direct transcription from USCS quarterly table</x:v>
      </x:c>
      <x:c r="I88" s="25" t="str">
        <x:v>Public quarterly actual</x:v>
      </x:c>
    </x:row>
    <x:row r="89">
      <x:c r="A89" s="25" t="str">
        <x:v>total_revenue</x:v>
      </x:c>
      <x:c r="B89" s="25" t="str">
        <x:v>2025Q3</x:v>
      </x:c>
      <x:c r="C89" s="25" t="n">
        <x:v>8856</x:v>
      </x:c>
      <x:c r="D89" s="25" t="str">
        <x:v>PUBLIC_ACTUAL</x:v>
      </x:c>
      <x:c r="E89" s="25" t="str">
        <x:v>Q4 2025 earnings tables</x:v>
      </x:c>
      <x:c r="F89" s="25" t="str">
        <x:v>2026-01-30</x:v>
      </x:c>
      <x:c r="G89" s="25" t="str">
        <x:v>2026-01-30</x:v>
      </x:c>
      <x:c r="H89" s="25" t="str">
        <x:v>Direct transcription from USCS quarterly table</x:v>
      </x:c>
      <x:c r="I89" s="25" t="str">
        <x:v>Public quarterly actual</x:v>
      </x:c>
    </x:row>
    <x:row r="90">
      <x:c r="A90" s="25" t="str">
        <x:v>provision</x:v>
      </x:c>
      <x:c r="B90" s="25" t="str">
        <x:v>2025Q3</x:v>
      </x:c>
      <x:c r="C90" s="25" t="n">
        <x:v>734</x:v>
      </x:c>
      <x:c r="D90" s="25" t="str">
        <x:v>PUBLIC_ACTUAL</x:v>
      </x:c>
      <x:c r="E90" s="25" t="str">
        <x:v>Q4 2025 earnings tables</x:v>
      </x:c>
      <x:c r="F90" s="25" t="str">
        <x:v>2026-01-30</x:v>
      </x:c>
      <x:c r="G90" s="25" t="str">
        <x:v>2026-01-30</x:v>
      </x:c>
      <x:c r="H90" s="25" t="str">
        <x:v>Direct transcription from USCS quarterly table</x:v>
      </x:c>
      <x:c r="I90" s="25" t="str">
        <x:v>Public quarterly actual</x:v>
      </x:c>
    </x:row>
    <x:row r="91">
      <x:c r="A91" s="25" t="str">
        <x:v>rewards_services</x:v>
      </x:c>
      <x:c r="B91" s="25" t="str">
        <x:v>2025Q3</x:v>
      </x:c>
      <x:c r="C91" s="25" t="n">
        <x:v>4145</x:v>
      </x:c>
      <x:c r="D91" s="25" t="str">
        <x:v>PUBLIC_ACTUAL</x:v>
      </x:c>
      <x:c r="E91" s="25" t="str">
        <x:v>Q4 2025 earnings tables</x:v>
      </x:c>
      <x:c r="F91" s="25" t="str">
        <x:v>2026-01-30</x:v>
      </x:c>
      <x:c r="G91" s="25" t="str">
        <x:v>2026-01-30</x:v>
      </x:c>
      <x:c r="H91" s="25" t="str">
        <x:v>Direct transcription from USCS quarterly table</x:v>
      </x:c>
      <x:c r="I91" s="25" t="str">
        <x:v>Public quarterly actual</x:v>
      </x:c>
    </x:row>
    <x:row r="92">
      <x:c r="A92" s="25" t="str">
        <x:v>marketing</x:v>
      </x:c>
      <x:c r="B92" s="25" t="str">
        <x:v>2025Q3</x:v>
      </x:c>
      <x:c r="C92" s="25" t="n">
        <x:v>825</x:v>
      </x:c>
      <x:c r="D92" s="25" t="str">
        <x:v>PUBLIC_ACTUAL</x:v>
      </x:c>
      <x:c r="E92" s="25" t="str">
        <x:v>Q4 2025 earnings tables</x:v>
      </x:c>
      <x:c r="F92" s="25" t="str">
        <x:v>2026-01-30</x:v>
      </x:c>
      <x:c r="G92" s="25" t="str">
        <x:v>2026-01-30</x:v>
      </x:c>
      <x:c r="H92" s="25" t="str">
        <x:v>Direct transcription from USCS quarterly table</x:v>
      </x:c>
      <x:c r="I92" s="25" t="str">
        <x:v>Public quarterly actual</x:v>
      </x:c>
    </x:row>
    <x:row r="93">
      <x:c r="A93" s="25" t="str">
        <x:v>salaries_other</x:v>
      </x:c>
      <x:c r="B93" s="25" t="str">
        <x:v>2025Q3</x:v>
      </x:c>
      <x:c r="C93" s="25" t="n">
        <x:v>1300</x:v>
      </x:c>
      <x:c r="D93" s="25" t="str">
        <x:v>PUBLIC_ACTUAL</x:v>
      </x:c>
      <x:c r="E93" s="25" t="str">
        <x:v>Q4 2025 earnings tables</x:v>
      </x:c>
      <x:c r="F93" s="25" t="str">
        <x:v>2026-01-30</x:v>
      </x:c>
      <x:c r="G93" s="25" t="str">
        <x:v>2026-01-30</x:v>
      </x:c>
      <x:c r="H93" s="25" t="str">
        <x:v>Direct transcription from USCS quarterly table</x:v>
      </x:c>
      <x:c r="I93" s="25" t="str">
        <x:v>Public quarterly actual</x:v>
      </x:c>
    </x:row>
    <x:row r="94">
      <x:c r="A94" s="25" t="str">
        <x:v>pretax_income</x:v>
      </x:c>
      <x:c r="B94" s="25" t="str">
        <x:v>2025Q3</x:v>
      </x:c>
      <x:c r="C94" s="25" t="n">
        <x:v>1852</x:v>
      </x:c>
      <x:c r="D94" s="25" t="str">
        <x:v>PUBLIC_ACTUAL</x:v>
      </x:c>
      <x:c r="E94" s="25" t="str">
        <x:v>Q4 2025 earnings tables</x:v>
      </x:c>
      <x:c r="F94" s="25" t="str">
        <x:v>2026-01-30</x:v>
      </x:c>
      <x:c r="G94" s="25" t="str">
        <x:v>2026-01-30</x:v>
      </x:c>
      <x:c r="H94" s="25" t="str">
        <x:v>Direct transcription from USCS quarterly table</x:v>
      </x:c>
      <x:c r="I94" s="25" t="str">
        <x:v>Public quarterly actual</x:v>
      </x:c>
    </x:row>
    <x:row r="95">
      <x:c r="A95" s="25" t="str">
        <x:v>billed_business</x:v>
      </x:c>
      <x:c r="B95" s="25" t="str">
        <x:v>2025Q3</x:v>
      </x:c>
      <x:c r="C95" s="25" t="n">
        <x:v>177.5</x:v>
      </x:c>
      <x:c r="D95" s="25" t="str">
        <x:v>PUBLIC_ACTUAL</x:v>
      </x:c>
      <x:c r="E95" s="25" t="str">
        <x:v>Q4 2025 earnings tables</x:v>
      </x:c>
      <x:c r="F95" s="25" t="str">
        <x:v>2026-01-30</x:v>
      </x:c>
      <x:c r="G95" s="25" t="str">
        <x:v>2026-01-30</x:v>
      </x:c>
      <x:c r="H95" s="25" t="str">
        <x:v>Direct transcription from USCS quarterly table</x:v>
      </x:c>
      <x:c r="I95" s="25" t="str">
        <x:v>Public quarterly actual</x:v>
      </x:c>
    </x:row>
    <x:row r="96">
      <x:c r="A96" s="25" t="str">
        <x:v>card_balances</x:v>
      </x:c>
      <x:c r="B96" s="25" t="str">
        <x:v>2025Q3</x:v>
      </x:c>
      <x:c r="C96" s="25" t="n">
        <x:v>106.969</x:v>
      </x:c>
      <x:c r="D96" s="25" t="str">
        <x:v>PUBLIC_ACTUAL</x:v>
      </x:c>
      <x:c r="E96" s="25" t="str">
        <x:v>Q4 2025 earnings tables</x:v>
      </x:c>
      <x:c r="F96" s="25" t="str">
        <x:v>2026-01-30</x:v>
      </x:c>
      <x:c r="G96" s="25" t="str">
        <x:v>2026-01-30</x:v>
      </x:c>
      <x:c r="H96" s="25" t="str">
        <x:v>Direct transcription from USCS quarterly table</x:v>
      </x:c>
      <x:c r="I96" s="25" t="str">
        <x:v>Public quarterly actual</x:v>
      </x:c>
    </x:row>
    <x:row r="97">
      <x:c r="A97" s="25" t="str">
        <x:v>nco_rate</x:v>
      </x:c>
      <x:c r="B97" s="25" t="str">
        <x:v>2025Q3</x:v>
      </x:c>
      <x:c r="C97" s="25" t="n">
        <x:v>0.023</x:v>
      </x:c>
      <x:c r="D97" s="25" t="str">
        <x:v>PUBLIC_ACTUAL</x:v>
      </x:c>
      <x:c r="E97" s="25" t="str">
        <x:v>Q4 2025 earnings tables</x:v>
      </x:c>
      <x:c r="F97" s="25" t="str">
        <x:v>2026-01-30</x:v>
      </x:c>
      <x:c r="G97" s="25" t="str">
        <x:v>2026-01-30</x:v>
      </x:c>
      <x:c r="H97" s="25" t="str">
        <x:v>Direct transcription from USCS quarterly table</x:v>
      </x:c>
      <x:c r="I97" s="25" t="str">
        <x:v>Public quarterly actual</x:v>
      </x:c>
    </x:row>
    <x:row r="98">
      <x:c r="A98" s="25" t="str">
        <x:v>delinquency</x:v>
      </x:c>
      <x:c r="B98" s="25" t="str">
        <x:v>2025Q3</x:v>
      </x:c>
      <x:c r="C98" s="25" t="n">
        <x:v>0.013</x:v>
      </x:c>
      <x:c r="D98" s="25" t="str">
        <x:v>PUBLIC_ACTUAL</x:v>
      </x:c>
      <x:c r="E98" s="25" t="str">
        <x:v>Q4 2025 earnings tables</x:v>
      </x:c>
      <x:c r="F98" s="25" t="str">
        <x:v>2026-01-30</x:v>
      </x:c>
      <x:c r="G98" s="25" t="str">
        <x:v>2026-01-30</x:v>
      </x:c>
      <x:c r="H98" s="25" t="str">
        <x:v>Direct transcription from USCS quarterly table</x:v>
      </x:c>
      <x:c r="I98" s="25" t="str">
        <x:v>Public quarterly actual</x:v>
      </x:c>
    </x:row>
    <x:row r="99">
      <x:c r="A99" s="25" t="str">
        <x:v>total_revenue</x:v>
      </x:c>
      <x:c r="B99" s="25" t="str">
        <x:v>2025Q4</x:v>
      </x:c>
      <x:c r="C99" s="25" t="n">
        <x:v>9156</x:v>
      </x:c>
      <x:c r="D99" s="25" t="str">
        <x:v>PUBLIC_ACTUAL</x:v>
      </x:c>
      <x:c r="E99" s="25" t="str">
        <x:v>Q4 2025 earnings tables</x:v>
      </x:c>
      <x:c r="F99" s="25" t="str">
        <x:v>2026-01-30</x:v>
      </x:c>
      <x:c r="G99" s="25" t="str">
        <x:v>2026-01-30</x:v>
      </x:c>
      <x:c r="H99" s="25" t="str">
        <x:v>Direct transcription from USCS quarterly table</x:v>
      </x:c>
      <x:c r="I99" s="25" t="str">
        <x:v>Public quarterly actual</x:v>
      </x:c>
    </x:row>
    <x:row r="100">
      <x:c r="A100" s="25" t="str">
        <x:v>provision</x:v>
      </x:c>
      <x:c r="B100" s="25" t="str">
        <x:v>2025Q4</x:v>
      </x:c>
      <x:c r="C100" s="25" t="n">
        <x:v>773</x:v>
      </x:c>
      <x:c r="D100" s="25" t="str">
        <x:v>PUBLIC_ACTUAL</x:v>
      </x:c>
      <x:c r="E100" s="25" t="str">
        <x:v>Q4 2025 earnings tables</x:v>
      </x:c>
      <x:c r="F100" s="25" t="str">
        <x:v>2026-01-30</x:v>
      </x:c>
      <x:c r="G100" s="25" t="str">
        <x:v>2026-01-30</x:v>
      </x:c>
      <x:c r="H100" s="25" t="str">
        <x:v>Direct transcription from USCS quarterly table</x:v>
      </x:c>
      <x:c r="I100" s="25" t="str">
        <x:v>Public quarterly actual</x:v>
      </x:c>
    </x:row>
    <x:row r="101">
      <x:c r="A101" s="25" t="str">
        <x:v>rewards_services</x:v>
      </x:c>
      <x:c r="B101" s="25" t="str">
        <x:v>2025Q4</x:v>
      </x:c>
      <x:c r="C101" s="25" t="n">
        <x:v>4563</x:v>
      </x:c>
      <x:c r="D101" s="25" t="str">
        <x:v>PUBLIC_ACTUAL</x:v>
      </x:c>
      <x:c r="E101" s="25" t="str">
        <x:v>Q4 2025 earnings tables</x:v>
      </x:c>
      <x:c r="F101" s="25" t="str">
        <x:v>2026-01-30</x:v>
      </x:c>
      <x:c r="G101" s="25" t="str">
        <x:v>2026-01-30</x:v>
      </x:c>
      <x:c r="H101" s="25" t="str">
        <x:v>Direct transcription from USCS quarterly table</x:v>
      </x:c>
      <x:c r="I101" s="25" t="str">
        <x:v>Public quarterly actual</x:v>
      </x:c>
    </x:row>
    <x:row r="102">
      <x:c r="A102" s="25" t="str">
        <x:v>marketing</x:v>
      </x:c>
      <x:c r="B102" s="25" t="str">
        <x:v>2025Q4</x:v>
      </x:c>
      <x:c r="C102" s="25" t="n">
        <x:v>797</x:v>
      </x:c>
      <x:c r="D102" s="25" t="str">
        <x:v>PUBLIC_ACTUAL</x:v>
      </x:c>
      <x:c r="E102" s="25" t="str">
        <x:v>Q4 2025 earnings tables</x:v>
      </x:c>
      <x:c r="F102" s="25" t="str">
        <x:v>2026-01-30</x:v>
      </x:c>
      <x:c r="G102" s="25" t="str">
        <x:v>2026-01-30</x:v>
      </x:c>
      <x:c r="H102" s="25" t="str">
        <x:v>Direct transcription from USCS quarterly table</x:v>
      </x:c>
      <x:c r="I102" s="25" t="str">
        <x:v>Public quarterly actual</x:v>
      </x:c>
    </x:row>
    <x:row r="103">
      <x:c r="A103" s="25" t="str">
        <x:v>salaries_other</x:v>
      </x:c>
      <x:c r="B103" s="25" t="str">
        <x:v>2025Q4</x:v>
      </x:c>
      <x:c r="C103" s="25" t="n">
        <x:v>1473</x:v>
      </x:c>
      <x:c r="D103" s="25" t="str">
        <x:v>PUBLIC_ACTUAL</x:v>
      </x:c>
      <x:c r="E103" s="25" t="str">
        <x:v>Q4 2025 earnings tables</x:v>
      </x:c>
      <x:c r="F103" s="25" t="str">
        <x:v>2026-01-30</x:v>
      </x:c>
      <x:c r="G103" s="25" t="str">
        <x:v>2026-01-30</x:v>
      </x:c>
      <x:c r="H103" s="25" t="str">
        <x:v>Direct transcription from USCS quarterly table</x:v>
      </x:c>
      <x:c r="I103" s="25" t="str">
        <x:v>Public quarterly actual</x:v>
      </x:c>
    </x:row>
    <x:row r="104">
      <x:c r="A104" s="25" t="str">
        <x:v>pretax_income</x:v>
      </x:c>
      <x:c r="B104" s="25" t="str">
        <x:v>2025Q4</x:v>
      </x:c>
      <x:c r="C104" s="25" t="n">
        <x:v>1550</x:v>
      </x:c>
      <x:c r="D104" s="25" t="str">
        <x:v>PUBLIC_ACTUAL</x:v>
      </x:c>
      <x:c r="E104" s="25" t="str">
        <x:v>Q4 2025 earnings tables</x:v>
      </x:c>
      <x:c r="F104" s="25" t="str">
        <x:v>2026-01-30</x:v>
      </x:c>
      <x:c r="G104" s="25" t="str">
        <x:v>2026-01-30</x:v>
      </x:c>
      <x:c r="H104" s="25" t="str">
        <x:v>Direct transcription from USCS quarterly table</x:v>
      </x:c>
      <x:c r="I104" s="25" t="str">
        <x:v>Public quarterly actual</x:v>
      </x:c>
    </x:row>
    <x:row r="105">
      <x:c r="A105" s="25" t="str">
        <x:v>billed_business</x:v>
      </x:c>
      <x:c r="B105" s="25" t="str">
        <x:v>2025Q4</x:v>
      </x:c>
      <x:c r="C105" s="25" t="n">
        <x:v>189.2</x:v>
      </x:c>
      <x:c r="D105" s="25" t="str">
        <x:v>PUBLIC_ACTUAL</x:v>
      </x:c>
      <x:c r="E105" s="25" t="str">
        <x:v>Q4 2025 earnings tables</x:v>
      </x:c>
      <x:c r="F105" s="25" t="str">
        <x:v>2026-01-30</x:v>
      </x:c>
      <x:c r="G105" s="25" t="str">
        <x:v>2026-01-30</x:v>
      </x:c>
      <x:c r="H105" s="25" t="str">
        <x:v>Direct transcription from USCS quarterly table</x:v>
      </x:c>
      <x:c r="I105" s="25" t="str">
        <x:v>Public quarterly actual</x:v>
      </x:c>
    </x:row>
    <x:row r="106">
      <x:c r="A106" s="25" t="str">
        <x:v>card_balances</x:v>
      </x:c>
      <x:c r="B106" s="25" t="str">
        <x:v>2025Q4</x:v>
      </x:c>
      <x:c r="C106" s="25" t="n">
        <x:v>114.368</x:v>
      </x:c>
      <x:c r="D106" s="25" t="str">
        <x:v>PUBLIC_ACTUAL</x:v>
      </x:c>
      <x:c r="E106" s="25" t="str">
        <x:v>Q4 2025 earnings tables</x:v>
      </x:c>
      <x:c r="F106" s="25" t="str">
        <x:v>2026-01-30</x:v>
      </x:c>
      <x:c r="G106" s="25" t="str">
        <x:v>2026-01-30</x:v>
      </x:c>
      <x:c r="H106" s="25" t="str">
        <x:v>Direct transcription from USCS quarterly table</x:v>
      </x:c>
      <x:c r="I106" s="25" t="str">
        <x:v>Public quarterly actual</x:v>
      </x:c>
    </x:row>
    <x:row r="107">
      <x:c r="A107" s="25" t="str">
        <x:v>nco_rate</x:v>
      </x:c>
      <x:c r="B107" s="25" t="str">
        <x:v>2025Q4</x:v>
      </x:c>
      <x:c r="C107" s="25" t="n">
        <x:v>0.026</x:v>
      </x:c>
      <x:c r="D107" s="25" t="str">
        <x:v>PUBLIC_ACTUAL</x:v>
      </x:c>
      <x:c r="E107" s="25" t="str">
        <x:v>Q4 2025 earnings tables</x:v>
      </x:c>
      <x:c r="F107" s="25" t="str">
        <x:v>2026-01-30</x:v>
      </x:c>
      <x:c r="G107" s="25" t="str">
        <x:v>2026-01-30</x:v>
      </x:c>
      <x:c r="H107" s="25" t="str">
        <x:v>Direct transcription from USCS quarterly table</x:v>
      </x:c>
      <x:c r="I107" s="25" t="str">
        <x:v>Public quarterly actual</x:v>
      </x:c>
    </x:row>
    <x:row r="108">
      <x:c r="A108" s="25" t="str">
        <x:v>delinquency</x:v>
      </x:c>
      <x:c r="B108" s="25" t="str">
        <x:v>2025Q4</x:v>
      </x:c>
      <x:c r="C108" s="25" t="n">
        <x:v>0.013</x:v>
      </x:c>
      <x:c r="D108" s="25" t="str">
        <x:v>PUBLIC_ACTUAL</x:v>
      </x:c>
      <x:c r="E108" s="25" t="str">
        <x:v>Q4 2025 earnings tables</x:v>
      </x:c>
      <x:c r="F108" s="25" t="str">
        <x:v>2026-01-30</x:v>
      </x:c>
      <x:c r="G108" s="25" t="str">
        <x:v>2026-01-30</x:v>
      </x:c>
      <x:c r="H108" s="25" t="str">
        <x:v>Direct transcription from USCS quarterly table</x:v>
      </x:c>
      <x:c r="I108" s="25" t="str">
        <x:v>Public quarterly actual</x:v>
      </x:c>
    </x:row>
    <x:row r="109">
      <x:c r="A109" s="25" t="str">
        <x:v>total_revenue</x:v>
      </x:c>
      <x:c r="B109" s="25" t="str">
        <x:v>2026Q1</x:v>
      </x:c>
      <x:c r="C109" s="25" t="n">
        <x:v>9123</x:v>
      </x:c>
      <x:c r="D109" s="25" t="str">
        <x:v>PUBLIC_ACTUAL</x:v>
      </x:c>
      <x:c r="E109" s="25" t="str">
        <x:v>Q1 2026 earnings tables</x:v>
      </x:c>
      <x:c r="F109" s="25" t="str">
        <x:v>2026-04-17</x:v>
      </x:c>
      <x:c r="G109" s="25" t="str">
        <x:v>2026-04-17</x:v>
      </x:c>
      <x:c r="H109" s="25" t="str">
        <x:v>Direct transcription from USCS quarterly table</x:v>
      </x:c>
      <x:c r="I109" s="25" t="str">
        <x:v>Public quarterly actual</x:v>
      </x:c>
    </x:row>
    <x:row r="110">
      <x:c r="A110" s="25" t="str">
        <x:v>provision</x:v>
      </x:c>
      <x:c r="B110" s="25" t="str">
        <x:v>2026Q1</x:v>
      </x:c>
      <x:c r="C110" s="25" t="n">
        <x:v>631</x:v>
      </x:c>
      <x:c r="D110" s="25" t="str">
        <x:v>PUBLIC_ACTUAL</x:v>
      </x:c>
      <x:c r="E110" s="25" t="str">
        <x:v>Q1 2026 earnings tables</x:v>
      </x:c>
      <x:c r="F110" s="25" t="str">
        <x:v>2026-04-17</x:v>
      </x:c>
      <x:c r="G110" s="25" t="str">
        <x:v>2026-04-17</x:v>
      </x:c>
      <x:c r="H110" s="25" t="str">
        <x:v>Direct transcription from USCS quarterly table</x:v>
      </x:c>
      <x:c r="I110" s="25" t="str">
        <x:v>Public quarterly actual</x:v>
      </x:c>
    </x:row>
    <x:row r="111">
      <x:c r="A111" s="25" t="str">
        <x:v>rewards_services</x:v>
      </x:c>
      <x:c r="B111" s="25" t="str">
        <x:v>2026Q1</x:v>
      </x:c>
      <x:c r="C111" s="25" t="n">
        <x:v>4605</x:v>
      </x:c>
      <x:c r="D111" s="25" t="str">
        <x:v>PUBLIC_ACTUAL</x:v>
      </x:c>
      <x:c r="E111" s="25" t="str">
        <x:v>Q1 2026 earnings tables</x:v>
      </x:c>
      <x:c r="F111" s="25" t="str">
        <x:v>2026-04-17</x:v>
      </x:c>
      <x:c r="G111" s="25" t="str">
        <x:v>2026-04-17</x:v>
      </x:c>
      <x:c r="H111" s="25" t="str">
        <x:v>Direct transcription from USCS quarterly table</x:v>
      </x:c>
      <x:c r="I111" s="25" t="str">
        <x:v>Public quarterly actual</x:v>
      </x:c>
    </x:row>
    <x:row r="112">
      <x:c r="A112" s="25" t="str">
        <x:v>marketing</x:v>
      </x:c>
      <x:c r="B112" s="25" t="str">
        <x:v>2026Q1</x:v>
      </x:c>
      <x:c r="C112" s="25" t="n">
        <x:v>764</x:v>
      </x:c>
      <x:c r="D112" s="25" t="str">
        <x:v>PUBLIC_ACTUAL</x:v>
      </x:c>
      <x:c r="E112" s="25" t="str">
        <x:v>Q1 2026 earnings tables</x:v>
      </x:c>
      <x:c r="F112" s="25" t="str">
        <x:v>2026-04-17</x:v>
      </x:c>
      <x:c r="G112" s="25" t="str">
        <x:v>2026-04-17</x:v>
      </x:c>
      <x:c r="H112" s="25" t="str">
        <x:v>Direct transcription from USCS quarterly table</x:v>
      </x:c>
      <x:c r="I112" s="25" t="str">
        <x:v>Public quarterly actual</x:v>
      </x:c>
    </x:row>
    <x:row r="113">
      <x:c r="A113" s="25" t="str">
        <x:v>salaries_other</x:v>
      </x:c>
      <x:c r="B113" s="25" t="str">
        <x:v>2026Q1</x:v>
      </x:c>
      <x:c r="C113" s="25" t="n">
        <x:v>1367</x:v>
      </x:c>
      <x:c r="D113" s="25" t="str">
        <x:v>PUBLIC_ACTUAL</x:v>
      </x:c>
      <x:c r="E113" s="25" t="str">
        <x:v>Q1 2026 earnings tables</x:v>
      </x:c>
      <x:c r="F113" s="25" t="str">
        <x:v>2026-04-17</x:v>
      </x:c>
      <x:c r="G113" s="25" t="str">
        <x:v>2026-04-17</x:v>
      </x:c>
      <x:c r="H113" s="25" t="str">
        <x:v>Direct transcription from USCS quarterly table</x:v>
      </x:c>
      <x:c r="I113" s="25" t="str">
        <x:v>Public quarterly actual</x:v>
      </x:c>
    </x:row>
    <x:row r="114">
      <x:c r="A114" s="25" t="str">
        <x:v>pretax_income</x:v>
      </x:c>
      <x:c r="B114" s="25" t="str">
        <x:v>2026Q1</x:v>
      </x:c>
      <x:c r="C114" s="25" t="n">
        <x:v>1757</x:v>
      </x:c>
      <x:c r="D114" s="25" t="str">
        <x:v>PUBLIC_ACTUAL</x:v>
      </x:c>
      <x:c r="E114" s="25" t="str">
        <x:v>Q1 2026 earnings tables</x:v>
      </x:c>
      <x:c r="F114" s="25" t="str">
        <x:v>2026-04-17</x:v>
      </x:c>
      <x:c r="G114" s="25" t="str">
        <x:v>2026-04-17</x:v>
      </x:c>
      <x:c r="H114" s="25" t="str">
        <x:v>Direct transcription from USCS quarterly table</x:v>
      </x:c>
      <x:c r="I114" s="25" t="str">
        <x:v>Public quarterly actual</x:v>
      </x:c>
    </x:row>
    <x:row r="115">
      <x:c r="A115" s="25" t="str">
        <x:v>billed_business</x:v>
      </x:c>
      <x:c r="B115" s="25" t="str">
        <x:v>2026Q1</x:v>
      </x:c>
      <x:c r="C115" s="25" t="n">
        <x:v>180.2</x:v>
      </x:c>
      <x:c r="D115" s="25" t="str">
        <x:v>PUBLIC_ACTUAL</x:v>
      </x:c>
      <x:c r="E115" s="25" t="str">
        <x:v>Q1 2026 earnings tables</x:v>
      </x:c>
      <x:c r="F115" s="25" t="str">
        <x:v>2026-04-17</x:v>
      </x:c>
      <x:c r="G115" s="25" t="str">
        <x:v>2026-04-17</x:v>
      </x:c>
      <x:c r="H115" s="25" t="str">
        <x:v>Direct transcription from USCS quarterly table</x:v>
      </x:c>
      <x:c r="I115" s="25" t="str">
        <x:v>Public quarterly actual</x:v>
      </x:c>
    </x:row>
    <x:row r="116">
      <x:c r="A116" s="25" t="str">
        <x:v>card_balances</x:v>
      </x:c>
      <x:c r="B116" s="25" t="str">
        <x:v>2026Q1</x:v>
      </x:c>
      <x:c r="C116" s="25" t="n">
        <x:v>110.849</x:v>
      </x:c>
      <x:c r="D116" s="25" t="str">
        <x:v>PUBLIC_ACTUAL</x:v>
      </x:c>
      <x:c r="E116" s="25" t="str">
        <x:v>Q1 2026 earnings tables</x:v>
      </x:c>
      <x:c r="F116" s="25" t="str">
        <x:v>2026-04-17</x:v>
      </x:c>
      <x:c r="G116" s="25" t="str">
        <x:v>2026-04-17</x:v>
      </x:c>
      <x:c r="H116" s="25" t="str">
        <x:v>Direct transcription from USCS quarterly table</x:v>
      </x:c>
      <x:c r="I116" s="25" t="str">
        <x:v>Public quarterly actual</x:v>
      </x:c>
    </x:row>
    <x:row r="117">
      <x:c r="A117" s="25" t="str">
        <x:v>nco_rate</x:v>
      </x:c>
      <x:c r="B117" s="25" t="str">
        <x:v>2026Q1</x:v>
      </x:c>
      <x:c r="C117" s="25" t="n">
        <x:v>0.024</x:v>
      </x:c>
      <x:c r="D117" s="25" t="str">
        <x:v>PUBLIC_ACTUAL</x:v>
      </x:c>
      <x:c r="E117" s="25" t="str">
        <x:v>Q1 2026 earnings tables</x:v>
      </x:c>
      <x:c r="F117" s="25" t="str">
        <x:v>2026-04-17</x:v>
      </x:c>
      <x:c r="G117" s="25" t="str">
        <x:v>2026-04-17</x:v>
      </x:c>
      <x:c r="H117" s="25" t="str">
        <x:v>Direct transcription from USCS quarterly table</x:v>
      </x:c>
      <x:c r="I117" s="25" t="str">
        <x:v>Public quarterly actual</x:v>
      </x:c>
    </x:row>
    <x:row r="118">
      <x:c r="A118" s="25" t="str">
        <x:v>delinquency</x:v>
      </x:c>
      <x:c r="B118" s="25" t="str">
        <x:v>2026Q1</x:v>
      </x:c>
      <x:c r="C118" s="25" t="n">
        <x:v>0.013</x:v>
      </x:c>
      <x:c r="D118" s="25" t="str">
        <x:v>PUBLIC_ACTUAL</x:v>
      </x:c>
      <x:c r="E118" s="25" t="str">
        <x:v>Q1 2026 earnings tables</x:v>
      </x:c>
      <x:c r="F118" s="25" t="str">
        <x:v>2026-04-17</x:v>
      </x:c>
      <x:c r="G118" s="25" t="str">
        <x:v>2026-04-17</x:v>
      </x:c>
      <x:c r="H118" s="25" t="str">
        <x:v>Direct transcription from USCS quarterly table</x:v>
      </x:c>
      <x:c r="I118" s="25" t="str">
        <x:v>Public quarterly actual</x:v>
      </x:c>
    </x:row>
    <x:row r="119">
      <x:c r="A119" s="25" t="str">
        <x:v>total_revenue</x:v>
      </x:c>
      <x:c r="B119" s="25" t="str">
        <x:v>2026Q2</x:v>
      </x:c>
      <x:c r="C119" s="25" t="n">
        <x:v>9524</x:v>
      </x:c>
      <x:c r="D119" s="25" t="str">
        <x:v>PUBLIC_ACTUAL</x:v>
      </x:c>
      <x:c r="E119" s="25" t="str">
        <x:v>Q2 2026 earnings tables</x:v>
      </x:c>
      <x:c r="F119" s="25" t="str">
        <x:v>2026-07-17</x:v>
      </x:c>
      <x:c r="G119" s="25" t="str">
        <x:v>2026-07-17</x:v>
      </x:c>
      <x:c r="H119" s="25" t="str">
        <x:v>Direct transcription from USCS quarterly table</x:v>
      </x:c>
      <x:c r="I119" s="25" t="str">
        <x:v>Public quarterly actual</x:v>
      </x:c>
    </x:row>
    <x:row r="120">
      <x:c r="A120" s="25" t="str">
        <x:v>provision</x:v>
      </x:c>
      <x:c r="B120" s="25" t="str">
        <x:v>2026Q2</x:v>
      </x:c>
      <x:c r="C120" s="25" t="n">
        <x:v>498</x:v>
      </x:c>
      <x:c r="D120" s="25" t="str">
        <x:v>PUBLIC_ACTUAL</x:v>
      </x:c>
      <x:c r="E120" s="25" t="str">
        <x:v>Q2 2026 earnings tables</x:v>
      </x:c>
      <x:c r="F120" s="25" t="str">
        <x:v>2026-07-17</x:v>
      </x:c>
      <x:c r="G120" s="25" t="str">
        <x:v>2026-07-17</x:v>
      </x:c>
      <x:c r="H120" s="25" t="str">
        <x:v>Direct transcription from USCS quarterly table</x:v>
      </x:c>
      <x:c r="I120" s="25" t="str">
        <x:v>Public quarterly actual</x:v>
      </x:c>
    </x:row>
    <x:row r="121">
      <x:c r="A121" s="25" t="str">
        <x:v>rewards_services</x:v>
      </x:c>
      <x:c r="B121" s="25" t="str">
        <x:v>2026Q2</x:v>
      </x:c>
      <x:c r="C121" s="25" t="n">
        <x:v>4745</x:v>
      </x:c>
      <x:c r="D121" s="25" t="str">
        <x:v>PUBLIC_ACTUAL</x:v>
      </x:c>
      <x:c r="E121" s="25" t="str">
        <x:v>Q2 2026 earnings tables</x:v>
      </x:c>
      <x:c r="F121" s="25" t="str">
        <x:v>2026-07-17</x:v>
      </x:c>
      <x:c r="G121" s="25" t="str">
        <x:v>2026-07-17</x:v>
      </x:c>
      <x:c r="H121" s="25" t="str">
        <x:v>Direct transcription from USCS quarterly table</x:v>
      </x:c>
      <x:c r="I121" s="25" t="str">
        <x:v>Public quarterly actual</x:v>
      </x:c>
    </x:row>
    <x:row r="122">
      <x:c r="A122" s="25" t="str">
        <x:v>marketing</x:v>
      </x:c>
      <x:c r="B122" s="25" t="str">
        <x:v>2026Q2</x:v>
      </x:c>
      <x:c r="C122" s="25" t="n">
        <x:v>813</x:v>
      </x:c>
      <x:c r="D122" s="25" t="str">
        <x:v>PUBLIC_ACTUAL</x:v>
      </x:c>
      <x:c r="E122" s="25" t="str">
        <x:v>Q2 2026 earnings tables</x:v>
      </x:c>
      <x:c r="F122" s="25" t="str">
        <x:v>2026-07-17</x:v>
      </x:c>
      <x:c r="G122" s="25" t="str">
        <x:v>2026-07-17</x:v>
      </x:c>
      <x:c r="H122" s="25" t="str">
        <x:v>Direct transcription from USCS quarterly table</x:v>
      </x:c>
      <x:c r="I122" s="25" t="str">
        <x:v>Public quarterly actual</x:v>
      </x:c>
    </x:row>
    <x:row r="123">
      <x:c r="A123" s="25" t="str">
        <x:v>salaries_other</x:v>
      </x:c>
      <x:c r="B123" s="25" t="str">
        <x:v>2026Q2</x:v>
      </x:c>
      <x:c r="C123" s="25" t="n">
        <x:v>1403</x:v>
      </x:c>
      <x:c r="D123" s="25" t="str">
        <x:v>PUBLIC_ACTUAL</x:v>
      </x:c>
      <x:c r="E123" s="25" t="str">
        <x:v>Q2 2026 earnings tables</x:v>
      </x:c>
      <x:c r="F123" s="25" t="str">
        <x:v>2026-07-17</x:v>
      </x:c>
      <x:c r="G123" s="25" t="str">
        <x:v>2026-07-17</x:v>
      </x:c>
      <x:c r="H123" s="25" t="str">
        <x:v>Direct transcription from USCS quarterly table</x:v>
      </x:c>
      <x:c r="I123" s="25" t="str">
        <x:v>Public quarterly actual</x:v>
      </x:c>
    </x:row>
    <x:row r="124">
      <x:c r="A124" s="25" t="str">
        <x:v>pretax_income</x:v>
      </x:c>
      <x:c r="B124" s="25" t="str">
        <x:v>2026Q2</x:v>
      </x:c>
      <x:c r="C124" s="25" t="n">
        <x:v>2065</x:v>
      </x:c>
      <x:c r="D124" s="25" t="str">
        <x:v>PUBLIC_ACTUAL</x:v>
      </x:c>
      <x:c r="E124" s="25" t="str">
        <x:v>Q2 2026 earnings tables</x:v>
      </x:c>
      <x:c r="F124" s="25" t="str">
        <x:v>2026-07-17</x:v>
      </x:c>
      <x:c r="G124" s="25" t="str">
        <x:v>2026-07-17</x:v>
      </x:c>
      <x:c r="H124" s="25" t="str">
        <x:v>Direct transcription from USCS quarterly table</x:v>
      </x:c>
      <x:c r="I124" s="25" t="str">
        <x:v>Public quarterly actual</x:v>
      </x:c>
    </x:row>
    <x:row r="125">
      <x:c r="A125" s="25" t="str">
        <x:v>billed_business</x:v>
      </x:c>
      <x:c r="B125" s="25" t="str">
        <x:v>2026Q2</x:v>
      </x:c>
      <x:c r="C125" s="25" t="n">
        <x:v>196.4</x:v>
      </x:c>
      <x:c r="D125" s="25" t="str">
        <x:v>PUBLIC_ACTUAL</x:v>
      </x:c>
      <x:c r="E125" s="25" t="str">
        <x:v>Q2 2026 earnings tables</x:v>
      </x:c>
      <x:c r="F125" s="25" t="str">
        <x:v>2026-07-17</x:v>
      </x:c>
      <x:c r="G125" s="25" t="str">
        <x:v>2026-07-17</x:v>
      </x:c>
      <x:c r="H125" s="25" t="str">
        <x:v>Direct transcription from USCS quarterly table</x:v>
      </x:c>
      <x:c r="I125" s="25" t="str">
        <x:v>Public quarterly actual</x:v>
      </x:c>
    </x:row>
    <x:row r="126">
      <x:c r="A126" s="25" t="str">
        <x:v>card_balances</x:v>
      </x:c>
      <x:c r="B126" s="25" t="str">
        <x:v>2026Q2</x:v>
      </x:c>
      <x:c r="C126" s="25" t="n">
        <x:v>113.796</x:v>
      </x:c>
      <x:c r="D126" s="25" t="str">
        <x:v>PUBLIC_ACTUAL</x:v>
      </x:c>
      <x:c r="E126" s="25" t="str">
        <x:v>Q2 2026 earnings tables</x:v>
      </x:c>
      <x:c r="F126" s="25" t="str">
        <x:v>2026-07-17</x:v>
      </x:c>
      <x:c r="G126" s="25" t="str">
        <x:v>2026-07-17</x:v>
      </x:c>
      <x:c r="H126" s="25" t="str">
        <x:v>Direct transcription from USCS quarterly table</x:v>
      </x:c>
      <x:c r="I126" s="25" t="str">
        <x:v>Public quarterly actual</x:v>
      </x:c>
    </x:row>
    <x:row r="127">
      <x:c r="A127" s="25" t="str">
        <x:v>nco_rate</x:v>
      </x:c>
      <x:c r="B127" s="25" t="str">
        <x:v>2026Q2</x:v>
      </x:c>
      <x:c r="C127" s="25" t="n">
        <x:v>0.023</x:v>
      </x:c>
      <x:c r="D127" s="25" t="str">
        <x:v>PUBLIC_ACTUAL</x:v>
      </x:c>
      <x:c r="E127" s="25" t="str">
        <x:v>Q2 2026 earnings tables</x:v>
      </x:c>
      <x:c r="F127" s="25" t="str">
        <x:v>2026-07-17</x:v>
      </x:c>
      <x:c r="G127" s="25" t="str">
        <x:v>2026-07-17</x:v>
      </x:c>
      <x:c r="H127" s="25" t="str">
        <x:v>Direct transcription from USCS quarterly table</x:v>
      </x:c>
      <x:c r="I127" s="25" t="str">
        <x:v>Public quarterly actual</x:v>
      </x:c>
    </x:row>
    <x:row r="128">
      <x:c r="A128" s="25" t="str">
        <x:v>delinquency</x:v>
      </x:c>
      <x:c r="B128" s="25" t="str">
        <x:v>2026Q2</x:v>
      </x:c>
      <x:c r="C128" s="25" t="n">
        <x:v>0.011</x:v>
      </x:c>
      <x:c r="D128" s="25" t="str">
        <x:v>PUBLIC_ACTUAL</x:v>
      </x:c>
      <x:c r="E128" s="25" t="str">
        <x:v>Q2 2026 earnings tables</x:v>
      </x:c>
      <x:c r="F128" s="25" t="str">
        <x:v>2026-07-17</x:v>
      </x:c>
      <x:c r="G128" s="25" t="str">
        <x:v>2026-07-17</x:v>
      </x:c>
      <x:c r="H128" s="25" t="str">
        <x:v>Direct transcription from USCS quarterly table</x:v>
      </x:c>
      <x:c r="I128" s="25" t="str">
        <x:v>Public quarterly actual</x:v>
      </x:c>
    </x:row>
    <x:row r="129">
      <x:c r="A129" s="25" t="str">
        <x:v>company_revenue_growth_guidance</x:v>
      </x:c>
      <x:c r="B129" s="25" t="str">
        <x:v>FY2025</x:v>
      </x:c>
      <x:c r="C129" s="25" t="str">
        <x:v>8%-10%</x:v>
      </x:c>
      <x:c r="D129" s="25" t="str">
        <x:v>PUBLIC_GUIDANCE</x:v>
      </x:c>
      <x:c r="E129" s="25" t="str">
        <x:v>Q4 2024 earnings presentation</x:v>
      </x:c>
      <x:c r="F129" s="25" t="str">
        <x:v>2025-01-24</x:v>
      </x:c>
      <x:c r="G129" s="25" t="str">
        <x:v>2025-01-24</x:v>
      </x:c>
      <x:c r="H129" s="25" t="str">
        <x:v>Used as an anchor, not applied mechanically to USCS</x:v>
      </x:c>
      <x:c r="I129" s="25" t="str">
        <x:v>Available at the AOP cutoff</x:v>
      </x:c>
    </x:row>
    <x:row r="130">
      <x:c r="A130" s="25" t="str">
        <x:v>non_interest_revenue</x:v>
      </x:c>
      <x:c r="B130" s="25" t="str">
        <x:v>2025 AOP</x:v>
      </x:c>
      <x:c r="C130" s="25" t="n">
        <x:v>22050</x:v>
      </x:c>
      <x:c r="D130" s="25" t="str">
        <x:v>MODEL_OUTPUT</x:v>
      </x:c>
      <x:c r="E130" s="25" t="str">
        <x:v>2025 AOP model</x:v>
      </x:c>
      <x:c r="F130" s="25" t="str">
        <x:v>2025-01-24</x:v>
      </x:c>
      <x:c r="G130" s="25" t="str">
        <x:v>2025-01-24</x:v>
      </x:c>
      <x:c r="H130" s="25" t="str">
        <x:v>FY2024 public actual multiplied by frozen pre-actual planning assumption</x:v>
      </x:c>
      <x:c r="I130" s="25" t="str">
        <x:v>Original AOP snapshot. No 2025 actuals used.</x:v>
      </x:c>
    </x:row>
    <x:row r="131">
      <x:c r="A131" s="25" t="str">
        <x:v>net_interest_income</x:v>
      </x:c>
      <x:c r="B131" s="25" t="str">
        <x:v>2025 AOP</x:v>
      </x:c>
      <x:c r="C131" s="25" t="n">
        <x:v>12419</x:v>
      </x:c>
      <x:c r="D131" s="25" t="str">
        <x:v>MODEL_OUTPUT</x:v>
      </x:c>
      <x:c r="E131" s="25" t="str">
        <x:v>2025 AOP model</x:v>
      </x:c>
      <x:c r="F131" s="25" t="str">
        <x:v>2025-01-24</x:v>
      </x:c>
      <x:c r="G131" s="25" t="str">
        <x:v>2025-01-24</x:v>
      </x:c>
      <x:c r="H131" s="25" t="str">
        <x:v>FY2024 public actual multiplied by frozen pre-actual planning assumption</x:v>
      </x:c>
      <x:c r="I131" s="25" t="str">
        <x:v>Original AOP snapshot. No 2025 actuals used.</x:v>
      </x:c>
    </x:row>
    <x:row r="132">
      <x:c r="A132" s="25" t="str">
        <x:v>total_revenue</x:v>
      </x:c>
      <x:c r="B132" s="25" t="str">
        <x:v>2025 AOP</x:v>
      </x:c>
      <x:c r="C132" s="25" t="n">
        <x:v>34469</x:v>
      </x:c>
      <x:c r="D132" s="25" t="str">
        <x:v>MODEL_OUTPUT</x:v>
      </x:c>
      <x:c r="E132" s="25" t="str">
        <x:v>2025 AOP model</x:v>
      </x:c>
      <x:c r="F132" s="25" t="str">
        <x:v>2025-01-24</x:v>
      </x:c>
      <x:c r="G132" s="25" t="str">
        <x:v>2025-01-24</x:v>
      </x:c>
      <x:c r="H132" s="25" t="str">
        <x:v>FY2024 public actual multiplied by frozen pre-actual planning assumption</x:v>
      </x:c>
      <x:c r="I132" s="25" t="str">
        <x:v>Original AOP snapshot. No 2025 actuals used.</x:v>
      </x:c>
    </x:row>
    <x:row r="133">
      <x:c r="A133" s="25" t="str">
        <x:v>provision</x:v>
      </x:c>
      <x:c r="B133" s="25" t="str">
        <x:v>2025 AOP</x:v>
      </x:c>
      <x:c r="C133" s="25" t="n">
        <x:v>3100</x:v>
      </x:c>
      <x:c r="D133" s="25" t="str">
        <x:v>MODEL_OUTPUT</x:v>
      </x:c>
      <x:c r="E133" s="25" t="str">
        <x:v>2025 AOP model</x:v>
      </x:c>
      <x:c r="F133" s="25" t="str">
        <x:v>2025-01-24</x:v>
      </x:c>
      <x:c r="G133" s="25" t="str">
        <x:v>2025-01-24</x:v>
      </x:c>
      <x:c r="H133" s="25" t="str">
        <x:v>FY2024 public actual multiplied by frozen pre-actual planning assumption</x:v>
      </x:c>
      <x:c r="I133" s="25" t="str">
        <x:v>Original AOP snapshot. No 2025 actuals used.</x:v>
      </x:c>
    </x:row>
    <x:row r="134">
      <x:c r="A134" s="25" t="str">
        <x:v>rewards_services</x:v>
      </x:c>
      <x:c r="B134" s="25" t="str">
        <x:v>2025 AOP</x:v>
      </x:c>
      <x:c r="C134" s="25" t="n">
        <x:v>15976.8</x:v>
      </x:c>
      <x:c r="D134" s="25" t="str">
        <x:v>MODEL_OUTPUT</x:v>
      </x:c>
      <x:c r="E134" s="25" t="str">
        <x:v>2025 AOP model</x:v>
      </x:c>
      <x:c r="F134" s="25" t="str">
        <x:v>2025-01-24</x:v>
      </x:c>
      <x:c r="G134" s="25" t="str">
        <x:v>2025-01-24</x:v>
      </x:c>
      <x:c r="H134" s="25" t="str">
        <x:v>FY2024 public actual multiplied by frozen pre-actual planning assumption</x:v>
      </x:c>
      <x:c r="I134" s="25" t="str">
        <x:v>Original AOP snapshot. No 2025 actuals used.</x:v>
      </x:c>
    </x:row>
    <x:row r="135">
      <x:c r="A135" s="25" t="str">
        <x:v>marketing</x:v>
      </x:c>
      <x:c r="B135" s="25" t="str">
        <x:v>2025 AOP</x:v>
      </x:c>
      <x:c r="C135" s="25" t="n">
        <x:v>3180</x:v>
      </x:c>
      <x:c r="D135" s="25" t="str">
        <x:v>MODEL_OUTPUT</x:v>
      </x:c>
      <x:c r="E135" s="25" t="str">
        <x:v>2025 AOP model</x:v>
      </x:c>
      <x:c r="F135" s="25" t="str">
        <x:v>2025-01-24</x:v>
      </x:c>
      <x:c r="G135" s="25" t="str">
        <x:v>2025-01-24</x:v>
      </x:c>
      <x:c r="H135" s="25" t="str">
        <x:v>FY2024 public actual multiplied by frozen pre-actual planning assumption</x:v>
      </x:c>
      <x:c r="I135" s="25" t="str">
        <x:v>Original AOP snapshot. No 2025 actuals used.</x:v>
      </x:c>
    </x:row>
    <x:row r="136">
      <x:c r="A136" s="25" t="str">
        <x:v>salaries_other</x:v>
      </x:c>
      <x:c r="B136" s="25" t="str">
        <x:v>2025 AOP</x:v>
      </x:c>
      <x:c r="C136" s="25" t="n">
        <x:v>5012.3</x:v>
      </x:c>
      <x:c r="D136" s="25" t="str">
        <x:v>MODEL_OUTPUT</x:v>
      </x:c>
      <x:c r="E136" s="25" t="str">
        <x:v>2025 AOP model</x:v>
      </x:c>
      <x:c r="F136" s="25" t="str">
        <x:v>2025-01-24</x:v>
      </x:c>
      <x:c r="G136" s="25" t="str">
        <x:v>2025-01-24</x:v>
      </x:c>
      <x:c r="H136" s="25" t="str">
        <x:v>FY2024 public actual multiplied by frozen pre-actual planning assumption</x:v>
      </x:c>
      <x:c r="I136" s="25" t="str">
        <x:v>Original AOP snapshot. No 2025 actuals used.</x:v>
      </x:c>
    </x:row>
    <x:row r="137">
      <x:c r="A137" s="25" t="str">
        <x:v>total_expenses</x:v>
      </x:c>
      <x:c r="B137" s="25" t="str">
        <x:v>2025 AOP</x:v>
      </x:c>
      <x:c r="C137" s="25" t="n">
        <x:v>24169.1</x:v>
      </x:c>
      <x:c r="D137" s="25" t="str">
        <x:v>MODEL_OUTPUT</x:v>
      </x:c>
      <x:c r="E137" s="25" t="str">
        <x:v>2025 AOP model</x:v>
      </x:c>
      <x:c r="F137" s="25" t="str">
        <x:v>2025-01-24</x:v>
      </x:c>
      <x:c r="G137" s="25" t="str">
        <x:v>2025-01-24</x:v>
      </x:c>
      <x:c r="H137" s="25" t="str">
        <x:v>FY2024 public actual multiplied by frozen pre-actual planning assumption</x:v>
      </x:c>
      <x:c r="I137" s="25" t="str">
        <x:v>Original AOP snapshot. No 2025 actuals used.</x:v>
      </x:c>
    </x:row>
    <x:row r="138">
      <x:c r="A138" s="25" t="str">
        <x:v>pretax_income</x:v>
      </x:c>
      <x:c r="B138" s="25" t="str">
        <x:v>2025 AOP</x:v>
      </x:c>
      <x:c r="C138" s="25" t="n">
        <x:v>7199.9000000000015</x:v>
      </x:c>
      <x:c r="D138" s="25" t="str">
        <x:v>MODEL_OUTPUT</x:v>
      </x:c>
      <x:c r="E138" s="25" t="str">
        <x:v>2025 AOP model</x:v>
      </x:c>
      <x:c r="F138" s="25" t="str">
        <x:v>2025-01-24</x:v>
      </x:c>
      <x:c r="G138" s="25" t="str">
        <x:v>2025-01-24</x:v>
      </x:c>
      <x:c r="H138" s="25" t="str">
        <x:v>FY2024 public actual multiplied by frozen pre-actual planning assumption</x:v>
      </x:c>
      <x:c r="I138" s="25" t="str">
        <x:v>Original AOP snapshot. No 2025 actuals used.</x:v>
      </x:c>
    </x:row>
    <x:row r="139">
      <x:c r="A139" s="25" t="str">
        <x:v>billed_business</x:v>
      </x:c>
      <x:c r="B139" s="25" t="str">
        <x:v>2025 AOP</x:v>
      </x:c>
      <x:c r="C139" s="25" t="n">
        <x:v>710.5</x:v>
      </x:c>
      <x:c r="D139" s="25" t="str">
        <x:v>MODEL_OUTPUT</x:v>
      </x:c>
      <x:c r="E139" s="25" t="str">
        <x:v>2025 AOP model</x:v>
      </x:c>
      <x:c r="F139" s="25" t="str">
        <x:v>2025-01-24</x:v>
      </x:c>
      <x:c r="G139" s="25" t="str">
        <x:v>2025-01-24</x:v>
      </x:c>
      <x:c r="H139" s="25" t="str">
        <x:v>FY2024 public actual multiplied by frozen pre-actual planning assumption</x:v>
      </x:c>
      <x:c r="I139" s="25" t="str">
        <x:v>Original AOP snapshot. No 2025 actuals used.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14" hidden="0" customWidth="1"/>
    <x:col min="5" max="5" width="44" hidden="0" customWidth="1"/>
  </x:cols>
  <x:sheetData>
    <x:row r="1" ht="30" customHeight="1">
      <x:c r="A1" s="15" t="str">
        <x:v>Assumptions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Yellow cells are planning inputs. The frozen 2025 AOP uses no information dated after January 24, 2025.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Control</x:v>
      </x:c>
      <x:c r="B4" s="24" t="str">
        <x:v>Value</x:v>
      </x:c>
      <x:c r="C4" s="24" t="str">
        <x:v>Classification</x:v>
      </x:c>
      <x:c r="D4" s="24" t="str">
        <x:v>As-of date</x:v>
      </x:c>
      <x:c r="E4" s="24" t="str">
        <x:v>Planning rationale</x:v>
      </x:c>
    </x:row>
    <x:row r="5">
      <x:c r="A5" s="25" t="str">
        <x:v>AOP cutoff date</x:v>
      </x:c>
      <x:c r="B5" s="32" t="n">
        <x:v>45681</x:v>
      </x:c>
      <x:c r="C5" s="25" t="str">
        <x:v>PUBLIC_GUIDANCE</x:v>
      </x:c>
      <x:c r="D5" s="33" t="n">
        <x:v>45681</x:v>
      </x:c>
      <x:c r="E5" s="25" t="str">
        <x:v>FY2024 results and 2025 company guidance available</x:v>
      </x:c>
    </x:row>
    <x:row r="6">
      <x:c r="A6" s="25" t="str">
        <x:v>Active combined scenario</x:v>
      </x:c>
      <x:c r="B6" s="30" t="str">
        <x:v>Base</x:v>
      </x:c>
      <x:c r="C6" s="25" t="str">
        <x:v>SYNTHETIC_ASSUMPTION</x:v>
      </x:c>
      <x:c r="D6" s="33" t="n">
        <x:v>46220</x:v>
      </x:c>
      <x:c r="E6" s="25" t="str">
        <x:v>User-editable scenario selector</x:v>
      </x:c>
    </x:row>
    <x:row r="7">
      <x:c r="A7" s="25" t="str">
        <x:v>2025 billed business growth</x:v>
      </x:c>
      <x:c r="B7" s="31" t="n">
        <x:v>0.085</x:v>
      </x:c>
      <x:c r="C7" s="25" t="str">
        <x:v>SYNTHETIC_ASSUMPTION</x:v>
      </x:c>
      <x:c r="D7" s="33" t="n">
        <x:v>45681</x:v>
      </x:c>
      <x:c r="E7" s="25" t="str">
        <x:v>FY2024 growth was 7%</x:v>
      </x:c>
    </x:row>
    <x:row r="8">
      <x:c r="A8" s="25" t="str">
        <x:v>2025 non-interest revenue growth</x:v>
      </x:c>
      <x:c r="B8" s="31" t="n">
        <x:v>0.095</x:v>
      </x:c>
      <x:c r="C8" s="25" t="str">
        <x:v>SYNTHETIC_ASSUMPTION</x:v>
      </x:c>
      <x:c r="D8" s="33" t="n">
        <x:v>45681</x:v>
      </x:c>
      <x:c r="E8" s="25" t="str">
        <x:v>Discount revenue and premium fees</x:v>
      </x:c>
    </x:row>
    <x:row r="9">
      <x:c r="A9" s="25" t="str">
        <x:v>2025 NII growth</x:v>
      </x:c>
      <x:c r="B9" s="31" t="n">
        <x:v>0.1</x:v>
      </x:c>
      <x:c r="C9" s="25" t="str">
        <x:v>SYNTHETIC_ASSUMPTION</x:v>
      </x:c>
      <x:c r="D9" s="33" t="n">
        <x:v>45681</x:v>
      </x:c>
      <x:c r="E9" s="25" t="str">
        <x:v>Loan growth partly offset by yield normalization</x:v>
      </x:c>
    </x:row>
    <x:row r="10">
      <x:c r="A10" s="25" t="str">
        <x:v>2025 provision ($M)</x:v>
      </x:c>
      <x:c r="B10" s="30" t="n">
        <x:v>3100</x:v>
      </x:c>
      <x:c r="C10" s="25" t="str">
        <x:v>SYNTHETIC_ASSUMPTION</x:v>
      </x:c>
      <x:c r="D10" s="33" t="n">
        <x:v>45681</x:v>
      </x:c>
      <x:c r="E10" s="25" t="str">
        <x:v>Credit normalization planning case</x:v>
      </x:c>
    </x:row>
    <x:row r="11">
      <x:c r="A11" s="25" t="str">
        <x:v>2025 rewards &amp; services growth</x:v>
      </x:c>
      <x:c r="B11" s="31" t="n">
        <x:v>0.115</x:v>
      </x:c>
      <x:c r="C11" s="25" t="str">
        <x:v>SYNTHETIC_ASSUMPTION</x:v>
      </x:c>
      <x:c r="D11" s="33" t="n">
        <x:v>45681</x:v>
      </x:c>
      <x:c r="E11" s="25" t="str">
        <x:v>Spend and premium account growth</x:v>
      </x:c>
    </x:row>
    <x:row r="12">
      <x:c r="A12" s="25" t="str">
        <x:v>2025 marketing ($M)</x:v>
      </x:c>
      <x:c r="B12" s="30" t="n">
        <x:v>3180</x:v>
      </x:c>
      <x:c r="C12" s="25" t="str">
        <x:v>SYNTHETIC_ASSUMPTION</x:v>
      </x:c>
      <x:c r="D12" s="33" t="n">
        <x:v>45681</x:v>
      </x:c>
      <x:c r="E12" s="25" t="str">
        <x:v>Disciplined growth investment</x:v>
      </x:c>
    </x:row>
    <x:row r="13">
      <x:c r="A13" s="25" t="str">
        <x:v>2025 salaries &amp; other growth</x:v>
      </x:c>
      <x:c r="B13" s="31" t="n">
        <x:v>0.08</x:v>
      </x:c>
      <x:c r="C13" s="25" t="str">
        <x:v>SYNTHETIC_ASSUMPTION</x:v>
      </x:c>
      <x:c r="D13" s="33" t="n">
        <x:v>45681</x:v>
      </x:c>
      <x:c r="E13" s="25" t="str">
        <x:v>Compensation plus allocated service costs</x:v>
      </x:c>
    </x:row>
  </x:sheetData>
  <x:mergeCells>
    <x:mergeCell ref="A1:N1"/>
    <x:mergeCell ref="A2:N2"/>
  </x:mergeCells>
  <x:dataValidations count="1">
    <x:dataValidation type="list" sqref="B6">
      <x:formula1>"Base,Growth Investment,Consumer Stress,Efficiency / Productivity"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5" t="str">
        <x:v>2025 Annual Operating Plan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Frozen on January 24, 2025. FY2025 actual results are excluded.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Metric</x:v>
      </x:c>
      <x:c r="B4" s="34" t="n">
        <x:v>45658</x:v>
      </x:c>
      <x:c r="C4" s="34" t="n">
        <x:v>45689</x:v>
      </x:c>
      <x:c r="D4" s="34" t="n">
        <x:v>45717</x:v>
      </x:c>
      <x:c r="E4" s="34" t="n">
        <x:v>45748</x:v>
      </x:c>
      <x:c r="F4" s="34" t="n">
        <x:v>45778</x:v>
      </x:c>
      <x:c r="G4" s="34" t="n">
        <x:v>45809</x:v>
      </x:c>
      <x:c r="H4" s="34" t="n">
        <x:v>45839</x:v>
      </x:c>
      <x:c r="I4" s="34" t="n">
        <x:v>45870</x:v>
      </x:c>
      <x:c r="J4" s="34" t="n">
        <x:v>45901</x:v>
      </x:c>
      <x:c r="K4" s="34" t="n">
        <x:v>45931</x:v>
      </x:c>
      <x:c r="L4" s="34" t="n">
        <x:v>45962</x:v>
      </x:c>
      <x:c r="M4" s="34" t="n">
        <x:v>45992</x:v>
      </x:c>
      <x:c r="N4" s="24" t="str">
        <x:v>FY</x:v>
      </x:c>
    </x:row>
    <x:row r="5">
      <x:c r="A5" s="25" t="str">
        <x:v>Billed Business ($B)</x:v>
      </x:c>
      <x:c r="B5" s="26" t="n">
        <x:v>53.263628</x:v>
      </x:c>
      <x:c r="C5" s="26" t="n">
        <x:v>51.59914</x:v>
      </x:c>
      <x:c r="D5" s="26" t="n">
        <x:v>61.586071</x:v>
      </x:c>
      <x:c r="E5" s="26" t="n">
        <x:v>59.11755</x:v>
      </x:c>
      <x:c r="F5" s="26" t="n">
        <x:v>59.11755</x:v>
      </x:c>
      <x:c r="G5" s="26" t="n">
        <x:v>60.90899</x:v>
      </x:c>
      <x:c r="H5" s="26" t="n">
        <x:v>56.353891</x:v>
      </x:c>
      <x:c r="I5" s="26" t="n">
        <x:v>58.11495</x:v>
      </x:c>
      <x:c r="J5" s="26" t="n">
        <x:v>61.637069</x:v>
      </x:c>
      <x:c r="K5" s="26" t="n">
        <x:v>56.640348</x:v>
      </x:c>
      <x:c r="L5" s="26" t="n">
        <x:v>58.52836</x:v>
      </x:c>
      <x:c r="M5" s="26" t="n">
        <x:v>73.632453</x:v>
      </x:c>
      <x:c r="N5" s="26" t="n">
        <x:f>SUM(B5:M5)</x:f>
        <x:v>710.5</x:v>
      </x:c>
    </x:row>
    <x:row r="6">
      <x:c r="A6" s="25" t="str">
        <x:v>Non-interest revenue</x:v>
      </x:c>
      <x:c r="B6" s="26" t="n">
        <x:v>1670.005264</x:v>
      </x:c>
      <x:c r="C6" s="26" t="n">
        <x:v>1617.817599</x:v>
      </x:c>
      <x:c r="D6" s="26" t="n">
        <x:v>1930.943587</x:v>
      </x:c>
      <x:c r="E6" s="26" t="n">
        <x:v>1817.227914</x:v>
      </x:c>
      <x:c r="F6" s="26" t="n">
        <x:v>1817.227914</x:v>
      </x:c>
      <x:c r="G6" s="26" t="n">
        <x:v>1872.295426</x:v>
      </x:c>
      <x:c r="H6" s="26" t="n">
        <x:v>1761.810002</x:v>
      </x:c>
      <x:c r="I6" s="26" t="n">
        <x:v>1816.866564</x:v>
      </x:c>
      <x:c r="J6" s="26" t="n">
        <x:v>1926.979689</x:v>
      </x:c>
      <x:c r="K6" s="26" t="n">
        <x:v>1745.647812</x:v>
      </x:c>
      <x:c r="L6" s="26" t="n">
        <x:v>1803.836073</x:v>
      </x:c>
      <x:c r="M6" s="26" t="n">
        <x:v>2269.342156</x:v>
      </x:c>
      <x:c r="N6" s="26" t="n">
        <x:f>SUM(B6:M6)</x:f>
        <x:v>22050</x:v>
      </x:c>
    </x:row>
    <x:row r="7">
      <x:c r="A7" s="35" t="str">
        <x:v>Net interest income</x:v>
      </x:c>
      <x:c r="B7" s="36" t="n">
        <x:v>962.016</x:v>
      </x:c>
      <x:c r="C7" s="36" t="n">
        <x:v>931.953</x:v>
      </x:c>
      <x:c r="D7" s="36" t="n">
        <x:v>1112.331</x:v>
      </x:c>
      <x:c r="E7" s="36" t="n">
        <x:v>981.189</x:v>
      </x:c>
      <x:c r="F7" s="36" t="n">
        <x:v>981.189</x:v>
      </x:c>
      <x:c r="G7" s="36" t="n">
        <x:v>1010.922</x:v>
      </x:c>
      <x:c r="H7" s="36" t="n">
        <x:v>1026.432</x:v>
      </x:c>
      <x:c r="I7" s="36" t="n">
        <x:v>1058.508</x:v>
      </x:c>
      <x:c r="J7" s="36" t="n">
        <x:v>1122.66</x:v>
      </x:c>
      <x:c r="K7" s="36" t="n">
        <x:v>969.54</x:v>
      </x:c>
      <x:c r="L7" s="36" t="n">
        <x:v>1001.858</x:v>
      </x:c>
      <x:c r="M7" s="36" t="n">
        <x:v>1260.402</x:v>
      </x:c>
      <x:c r="N7" s="36" t="n">
        <x:f>SUM(B7:M7)</x:f>
        <x:v>12419.000000000002</x:v>
      </x:c>
    </x:row>
    <x:row r="8">
      <x:c r="A8" s="25" t="str">
        <x:v>Total revenue net of interest expense</x:v>
      </x:c>
      <x:c r="B8" s="26" t="n">
        <x:v>2631.958823</x:v>
      </x:c>
      <x:c r="C8" s="26" t="n">
        <x:v>2549.71011</x:v>
      </x:c>
      <x:c r="D8" s="26" t="n">
        <x:v>3043.202388</x:v>
      </x:c>
      <x:c r="E8" s="26" t="n">
        <x:v>2798.540161</x:v>
      </x:c>
      <x:c r="F8" s="26" t="n">
        <x:v>2798.540161</x:v>
      </x:c>
      <x:c r="G8" s="26" t="n">
        <x:v>2883.344408</x:v>
      </x:c>
      <x:c r="H8" s="26" t="n">
        <x:v>2788.142537</x:v>
      </x:c>
      <x:c r="I8" s="26" t="n">
        <x:v>2875.271992</x:v>
      </x:c>
      <x:c r="J8" s="26" t="n">
        <x:v>3049.5309</x:v>
      </x:c>
      <x:c r="K8" s="26" t="n">
        <x:v>2715.227556</x:v>
      </x:c>
      <x:c r="L8" s="26" t="n">
        <x:v>2805.735141</x:v>
      </x:c>
      <x:c r="M8" s="26" t="n">
        <x:v>3529.795823</x:v>
      </x:c>
      <x:c r="N8" s="26" t="n">
        <x:f>SUM(B8:M8)</x:f>
        <x:v>34469</x:v>
      </x:c>
    </x:row>
    <x:row r="9">
      <x:c r="A9" s="25" t="str">
        <x:v>Provision for credit losses</x:v>
      </x:c>
      <x:c r="B9" s="26" t="n">
        <x:v>238.0931</x:v>
      </x:c>
      <x:c r="C9" s="26" t="n">
        <x:v>230.652691</x:v>
      </x:c>
      <x:c r="D9" s="26" t="n">
        <x:v>275.295147</x:v>
      </x:c>
      <x:c r="E9" s="26" t="n">
        <x:v>238.44107</x:v>
      </x:c>
      <x:c r="F9" s="26" t="n">
        <x:v>238.44107</x:v>
      </x:c>
      <x:c r="G9" s="26" t="n">
        <x:v>245.666556</x:v>
      </x:c>
      <x:c r="H9" s="26" t="n">
        <x:v>265.93067</x:v>
      </x:c>
      <x:c r="I9" s="26" t="n">
        <x:v>274.241004</x:v>
      </x:c>
      <x:c r="J9" s="26" t="n">
        <x:v>290.86167</x:v>
      </x:c>
      <x:c r="K9" s="26" t="n">
        <x:v>240.713107</x:v>
      </x:c>
      <x:c r="L9" s="26" t="n">
        <x:v>248.736877</x:v>
      </x:c>
      <x:c r="M9" s="26" t="n">
        <x:v>312.927038</x:v>
      </x:c>
      <x:c r="N9" s="26" t="n">
        <x:f>SUM(B9:M9)</x:f>
        <x:v>3099.9999999999995</x:v>
      </x:c>
    </x:row>
    <x:row r="10">
      <x:c r="A10" s="25" t="str">
        <x:v>Rewards, business development &amp; services</x:v>
      </x:c>
      <x:c r="B10" s="26" t="n">
        <x:v>1197.418177</x:v>
      </x:c>
      <x:c r="C10" s="26" t="n">
        <x:v>1159.998859</x:v>
      </x:c>
      <x:c r="D10" s="26" t="n">
        <x:v>1384.514767</x:v>
      </x:c>
      <x:c r="E10" s="26" t="n">
        <x:v>1319.833759</x:v>
      </x:c>
      <x:c r="F10" s="26" t="n">
        <x:v>1319.833759</x:v>
      </x:c>
      <x:c r="G10" s="26" t="n">
        <x:v>1359.82872</x:v>
      </x:c>
      <x:c r="H10" s="26" t="n">
        <x:v>1273.77321</x:v>
      </x:c>
      <x:c r="I10" s="26" t="n">
        <x:v>1313.578622</x:v>
      </x:c>
      <x:c r="J10" s="26" t="n">
        <x:v>1393.189448</x:v>
      </x:c>
      <x:c r="K10" s="26" t="n">
        <x:v>1276.449204</x:v>
      </x:c>
      <x:c r="L10" s="26" t="n">
        <x:v>1318.99751</x:v>
      </x:c>
      <x:c r="M10" s="26" t="n">
        <x:v>1659.383965</x:v>
      </x:c>
      <x:c r="N10" s="26" t="n">
        <x:f>SUM(B10:M10)</x:f>
        <x:v>15976.8</x:v>
      </x:c>
    </x:row>
    <x:row r="11">
      <x:c r="A11" s="25" t="str">
        <x:v>Marketing</x:v>
      </x:c>
      <x:c r="B11" s="26" t="n">
        <x:v>239.808063</x:v>
      </x:c>
      <x:c r="C11" s="26" t="n">
        <x:v>232.314061</x:v>
      </x:c>
      <x:c r="D11" s="26" t="n">
        <x:v>277.278073</x:v>
      </x:c>
      <x:c r="E11" s="26" t="n">
        <x:v>262.779941</x:v>
      </x:c>
      <x:c r="F11" s="26" t="n">
        <x:v>262.779941</x:v>
      </x:c>
      <x:c r="G11" s="26" t="n">
        <x:v>270.74297</x:v>
      </x:c>
      <x:c r="H11" s="26" t="n">
        <x:v>251.815143</x:v>
      </x:c>
      <x:c r="I11" s="26" t="n">
        <x:v>259.684366</x:v>
      </x:c>
      <x:c r="J11" s="26" t="n">
        <x:v>275.422812</x:v>
      </x:c>
      <x:c r="K11" s="26" t="n">
        <x:v>254.212389</x:v>
      </x:c>
      <x:c r="L11" s="26" t="n">
        <x:v>262.686135</x:v>
      </x:c>
      <x:c r="M11" s="26" t="n">
        <x:v>330.476106</x:v>
      </x:c>
      <x:c r="N11" s="26" t="n">
        <x:f>SUM(B11:M11)</x:f>
        <x:v>3179.9999999999995</x:v>
      </x:c>
    </x:row>
    <x:row r="12">
      <x:c r="A12" s="25" t="str">
        <x:v>Salaries, benefits &amp; other OpEx</x:v>
      </x:c>
      <x:c r="B12" s="26" t="n">
        <x:v>374.631895</x:v>
      </x:c>
      <x:c r="C12" s="26" t="n">
        <x:v>362.924648</x:v>
      </x:c>
      <x:c r="D12" s="26" t="n">
        <x:v>433.168128</x:v>
      </x:c>
      <x:c r="E12" s="26" t="n">
        <x:v>397.387586</x:v>
      </x:c>
      <x:c r="F12" s="26" t="n">
        <x:v>397.387586</x:v>
      </x:c>
      <x:c r="G12" s="26" t="n">
        <x:v>409.429633</x:v>
      </x:c>
      <x:c r="H12" s="26" t="n">
        <x:v>396.750383</x:v>
      </x:c>
      <x:c r="I12" s="26" t="n">
        <x:v>409.148833</x:v>
      </x:c>
      <x:c r="J12" s="26" t="n">
        <x:v>433.945731</x:v>
      </x:c>
      <x:c r="K12" s="26" t="n">
        <x:v>419.257673</x:v>
      </x:c>
      <x:c r="L12" s="26" t="n">
        <x:v>433.232929</x:v>
      </x:c>
      <x:c r="M12" s="26" t="n">
        <x:v>545.034975</x:v>
      </x:c>
      <x:c r="N12" s="26" t="n">
        <x:f>SUM(B12:M12)</x:f>
        <x:v>5012.300000000001</x:v>
      </x:c>
    </x:row>
    <x:row r="13">
      <x:c r="A13" s="35" t="str">
        <x:v>Total expenses</x:v>
      </x:c>
      <x:c r="B13" s="36" t="n">
        <x:v>1811.919704</x:v>
      </x:c>
      <x:c r="C13" s="36" t="n">
        <x:v>1755.297214</x:v>
      </x:c>
      <x:c r="D13" s="36" t="n">
        <x:v>2095.032158</x:v>
      </x:c>
      <x:c r="E13" s="36" t="n">
        <x:v>1979.734762</x:v>
      </x:c>
      <x:c r="F13" s="36" t="n">
        <x:v>1979.734762</x:v>
      </x:c>
      <x:c r="G13" s="36" t="n">
        <x:v>2039.726725</x:v>
      </x:c>
      <x:c r="H13" s="36" t="n">
        <x:v>1922.201307</x:v>
      </x:c>
      <x:c r="I13" s="36" t="n">
        <x:v>1982.270098</x:v>
      </x:c>
      <x:c r="J13" s="36" t="n">
        <x:v>2102.407679</x:v>
      </x:c>
      <x:c r="K13" s="36" t="n">
        <x:v>1950.232677</x:v>
      </x:c>
      <x:c r="L13" s="36" t="n">
        <x:v>2015.240433</x:v>
      </x:c>
      <x:c r="M13" s="36" t="n">
        <x:v>2535.302481</x:v>
      </x:c>
      <x:c r="N13" s="36" t="n">
        <x:f>SUM(B13:M13)</x:f>
        <x:v>24169.1</x:v>
      </x:c>
    </x:row>
    <x:row r="14">
      <x:c r="A14" s="37" t="str">
        <x:v>Pretax segment income</x:v>
      </x:c>
      <x:c r="B14" s="38" t="n">
        <x:v>582.766251</x:v>
      </x:c>
      <x:c r="C14" s="38" t="n">
        <x:v>564.554806</x:v>
      </x:c>
      <x:c r="D14" s="38" t="n">
        <x:v>673.823478</x:v>
      </x:c>
      <x:c r="E14" s="38" t="n">
        <x:v>581.230754</x:v>
      </x:c>
      <x:c r="F14" s="38" t="n">
        <x:v>581.230754</x:v>
      </x:c>
      <x:c r="G14" s="38" t="n">
        <x:v>598.843808</x:v>
      </x:c>
      <x:c r="H14" s="38" t="n">
        <x:v>599.385748</x:v>
      </x:c>
      <x:c r="I14" s="38" t="n">
        <x:v>618.116552</x:v>
      </x:c>
      <x:c r="J14" s="38" t="n">
        <x:v>655.578161</x:v>
      </x:c>
      <x:c r="K14" s="38" t="n">
        <x:v>523.310906</x:v>
      </x:c>
      <x:c r="L14" s="38" t="n">
        <x:v>540.754603</x:v>
      </x:c>
      <x:c r="M14" s="38" t="n">
        <x:v>680.304179</x:v>
      </x:c>
      <x:c r="N14" s="38" t="n">
        <x:f>SUM(B14:M14)</x:f>
        <x:v>7199.9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5" t="str">
        <x:v>2025 Actual with Monthly Allocation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Monthly model allocations reconcile to reported quarterly and annual totals.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Metric</x:v>
      </x:c>
      <x:c r="B4" s="34" t="n">
        <x:v>45658</x:v>
      </x:c>
      <x:c r="C4" s="34" t="n">
        <x:v>45689</x:v>
      </x:c>
      <x:c r="D4" s="34" t="n">
        <x:v>45717</x:v>
      </x:c>
      <x:c r="E4" s="34" t="n">
        <x:v>45748</x:v>
      </x:c>
      <x:c r="F4" s="34" t="n">
        <x:v>45778</x:v>
      </x:c>
      <x:c r="G4" s="34" t="n">
        <x:v>45809</x:v>
      </x:c>
      <x:c r="H4" s="34" t="n">
        <x:v>45839</x:v>
      </x:c>
      <x:c r="I4" s="34" t="n">
        <x:v>45870</x:v>
      </x:c>
      <x:c r="J4" s="34" t="n">
        <x:v>45901</x:v>
      </x:c>
      <x:c r="K4" s="34" t="n">
        <x:v>45931</x:v>
      </x:c>
      <x:c r="L4" s="34" t="n">
        <x:v>45962</x:v>
      </x:c>
      <x:c r="M4" s="34" t="n">
        <x:v>45992</x:v>
      </x:c>
      <x:c r="N4" s="24" t="str">
        <x:v>FY</x:v>
      </x:c>
    </x:row>
    <x:row r="5">
      <x:c r="A5" s="25" t="str">
        <x:v>Billed Business ($B)</x:v>
      </x:c>
      <x:c r="B5" s="26" t="n">
        <x:v>52.576</x:v>
      </x:c>
      <x:c r="C5" s="26" t="n">
        <x:v>50.933</x:v>
      </x:c>
      <x:c r="D5" s="26" t="n">
        <x:v>60.791</x:v>
      </x:c>
      <x:c r="E5" s="26" t="n">
        <x:v>58.245</x:v>
      </x:c>
      <x:c r="F5" s="26" t="n">
        <x:v>58.245</x:v>
      </x:c>
      <x:c r="G5" s="26" t="n">
        <x:v>60.01</x:v>
      </x:c>
      <x:c r="H5" s="26" t="n">
        <x:v>56.8</x:v>
      </x:c>
      <x:c r="I5" s="26" t="n">
        <x:v>58.575</x:v>
      </x:c>
      <x:c r="J5" s="26" t="n">
        <x:v>62.125</x:v>
      </x:c>
      <x:c r="K5" s="26" t="n">
        <x:v>56.76</x:v>
      </x:c>
      <x:c r="L5" s="26" t="n">
        <x:v>58.652</x:v>
      </x:c>
      <x:c r="M5" s="26" t="n">
        <x:v>73.788</x:v>
      </x:c>
      <x:c r="N5" s="26" t="n">
        <x:f>SUM(B5:M5)</x:f>
        <x:v>707.5</x:v>
      </x:c>
    </x:row>
    <x:row r="6">
      <x:c r="A6" s="25" t="str">
        <x:v>Non-interest revenue</x:v>
      </x:c>
      <x:c r="B6" s="26" t="n">
        <x:v>1677.76</x:v>
      </x:c>
      <x:c r="C6" s="26" t="n">
        <x:v>1625.33</x:v>
      </x:c>
      <x:c r="D6" s="26" t="n">
        <x:v>1939.91</x:v>
      </x:c>
      <x:c r="E6" s="26" t="n">
        <x:v>1828.2</x:v>
      </x:c>
      <x:c r="F6" s="26" t="n">
        <x:v>1828.2</x:v>
      </x:c>
      <x:c r="G6" s="26" t="n">
        <x:v>1883.6</x:v>
      </x:c>
      <x:c r="H6" s="26" t="n">
        <x:v>1798.4</x:v>
      </x:c>
      <x:c r="I6" s="26" t="n">
        <x:v>1854.6</x:v>
      </x:c>
      <x:c r="J6" s="26" t="n">
        <x:v>1967</x:v>
      </x:c>
      <x:c r="K6" s="26" t="n">
        <x:v>1771.2</x:v>
      </x:c>
      <x:c r="L6" s="26" t="n">
        <x:v>1830.24</x:v>
      </x:c>
      <x:c r="M6" s="26" t="n">
        <x:v>2302.56</x:v>
      </x:c>
      <x:c r="N6" s="26" t="n">
        <x:f>SUM(B6:M6)</x:f>
        <x:v>22307.000000000004</x:v>
      </x:c>
    </x:row>
    <x:row r="7">
      <x:c r="A7" s="35" t="str">
        <x:v>Net interest income</x:v>
      </x:c>
      <x:c r="B7" s="36" t="n">
        <x:v>961.92</x:v>
      </x:c>
      <x:c r="C7" s="36" t="n">
        <x:v>931.86</x:v>
      </x:c>
      <x:c r="D7" s="36" t="n">
        <x:v>1112.22</x:v>
      </x:c>
      <x:c r="E7" s="36" t="n">
        <x:v>994.29</x:v>
      </x:c>
      <x:c r="F7" s="36" t="n">
        <x:v>994.29</x:v>
      </x:c>
      <x:c r="G7" s="36" t="n">
        <x:v>1024.42</x:v>
      </x:c>
      <x:c r="H7" s="36" t="n">
        <x:v>1035.52</x:v>
      </x:c>
      <x:c r="I7" s="36" t="n">
        <x:v>1067.88</x:v>
      </x:c>
      <x:c r="J7" s="36" t="n">
        <x:v>1132.6</x:v>
      </x:c>
      <x:c r="K7" s="36" t="n">
        <x:v>975.6</x:v>
      </x:c>
      <x:c r="L7" s="36" t="n">
        <x:v>1008.12</x:v>
      </x:c>
      <x:c r="M7" s="36" t="n">
        <x:v>1268.28</x:v>
      </x:c>
      <x:c r="N7" s="36" t="n">
        <x:f>SUM(B7:M7)</x:f>
        <x:v>12507.000000000002</x:v>
      </x:c>
    </x:row>
    <x:row r="8">
      <x:c r="A8" s="25" t="str">
        <x:v>Total revenue net of interest expense</x:v>
      </x:c>
      <x:c r="B8" s="26" t="n">
        <x:v>2639.68</x:v>
      </x:c>
      <x:c r="C8" s="26" t="n">
        <x:v>2557.19</x:v>
      </x:c>
      <x:c r="D8" s="26" t="n">
        <x:v>3052.13</x:v>
      </x:c>
      <x:c r="E8" s="26" t="n">
        <x:v>2822.49</x:v>
      </x:c>
      <x:c r="F8" s="26" t="n">
        <x:v>2822.49</x:v>
      </x:c>
      <x:c r="G8" s="26" t="n">
        <x:v>2908.02</x:v>
      </x:c>
      <x:c r="H8" s="26" t="n">
        <x:v>2833.92</x:v>
      </x:c>
      <x:c r="I8" s="26" t="n">
        <x:v>2922.48</x:v>
      </x:c>
      <x:c r="J8" s="26" t="n">
        <x:v>3099.6</x:v>
      </x:c>
      <x:c r="K8" s="26" t="n">
        <x:v>2746.8</x:v>
      </x:c>
      <x:c r="L8" s="26" t="n">
        <x:v>2838.36</x:v>
      </x:c>
      <x:c r="M8" s="26" t="n">
        <x:v>3570.84</x:v>
      </x:c>
      <x:c r="N8" s="26" t="n">
        <x:f>SUM(B8:M8)</x:f>
        <x:v>34814</x:v>
      </x:c>
    </x:row>
    <x:row r="9">
      <x:c r="A9" s="25" t="str">
        <x:v>Provision for credit losses</x:v>
      </x:c>
      <x:c r="B9" s="26" t="n">
        <x:v>201.92</x:v>
      </x:c>
      <x:c r="C9" s="26" t="n">
        <x:v>195.61</x:v>
      </x:c>
      <x:c r="D9" s="26" t="n">
        <x:v>233.47</x:v>
      </x:c>
      <x:c r="E9" s="26" t="n">
        <x:v>273.57</x:v>
      </x:c>
      <x:c r="F9" s="26" t="n">
        <x:v>273.57</x:v>
      </x:c>
      <x:c r="G9" s="26" t="n">
        <x:v>281.86</x:v>
      </x:c>
      <x:c r="H9" s="26" t="n">
        <x:v>234.88</x:v>
      </x:c>
      <x:c r="I9" s="26" t="n">
        <x:v>242.22</x:v>
      </x:c>
      <x:c r="J9" s="26" t="n">
        <x:v>256.9</x:v>
      </x:c>
      <x:c r="K9" s="26" t="n">
        <x:v>231.9</x:v>
      </x:c>
      <x:c r="L9" s="26" t="n">
        <x:v>239.63</x:v>
      </x:c>
      <x:c r="M9" s="26" t="n">
        <x:v>301.47</x:v>
      </x:c>
      <x:c r="N9" s="26" t="n">
        <x:f>SUM(B9:M9)</x:f>
        <x:v>2967</x:v>
      </x:c>
    </x:row>
    <x:row r="10">
      <x:c r="A10" s="25" t="str">
        <x:v>Rewards, business development &amp; services</x:v>
      </x:c>
      <x:c r="B10" s="26" t="n">
        <x:v>1242.24</x:v>
      </x:c>
      <x:c r="C10" s="26" t="n">
        <x:v>1203.42</x:v>
      </x:c>
      <x:c r="D10" s="26" t="n">
        <x:v>1436.34</x:v>
      </x:c>
      <x:c r="E10" s="26" t="n">
        <x:v>1309.11</x:v>
      </x:c>
      <x:c r="F10" s="26" t="n">
        <x:v>1309.11</x:v>
      </x:c>
      <x:c r="G10" s="26" t="n">
        <x:v>1348.78</x:v>
      </x:c>
      <x:c r="H10" s="26" t="n">
        <x:v>1326.4</x:v>
      </x:c>
      <x:c r="I10" s="26" t="n">
        <x:v>1367.85</x:v>
      </x:c>
      <x:c r="J10" s="26" t="n">
        <x:v>1450.75</x:v>
      </x:c>
      <x:c r="K10" s="26" t="n">
        <x:v>1368.9</x:v>
      </x:c>
      <x:c r="L10" s="26" t="n">
        <x:v>1414.53</x:v>
      </x:c>
      <x:c r="M10" s="26" t="n">
        <x:v>1779.57</x:v>
      </x:c>
      <x:c r="N10" s="26" t="n">
        <x:f>SUM(B10:M10)</x:f>
        <x:v>16557</x:v>
      </x:c>
    </x:row>
    <x:row r="11">
      <x:c r="A11" s="25" t="str">
        <x:v>Marketing</x:v>
      </x:c>
      <x:c r="B11" s="26" t="n">
        <x:v>244.8</x:v>
      </x:c>
      <x:c r="C11" s="26" t="n">
        <x:v>237.15</x:v>
      </x:c>
      <x:c r="D11" s="26" t="n">
        <x:v>283.05</x:v>
      </x:c>
      <x:c r="E11" s="26" t="n">
        <x:v>264</x:v>
      </x:c>
      <x:c r="F11" s="26" t="n">
        <x:v>264</x:v>
      </x:c>
      <x:c r="G11" s="26" t="n">
        <x:v>272</x:v>
      </x:c>
      <x:c r="H11" s="26" t="n">
        <x:v>264</x:v>
      </x:c>
      <x:c r="I11" s="26" t="n">
        <x:v>272.25</x:v>
      </x:c>
      <x:c r="J11" s="26" t="n">
        <x:v>288.75</x:v>
      </x:c>
      <x:c r="K11" s="26" t="n">
        <x:v>239.1</x:v>
      </x:c>
      <x:c r="L11" s="26" t="n">
        <x:v>247.07</x:v>
      </x:c>
      <x:c r="M11" s="26" t="n">
        <x:v>310.83</x:v>
      </x:c>
      <x:c r="N11" s="26" t="n">
        <x:f>SUM(B11:M11)</x:f>
        <x:v>3187</x:v>
      </x:c>
    </x:row>
    <x:row r="12">
      <x:c r="A12" s="25" t="str">
        <x:v>Salaries, benefits &amp; other OpEx</x:v>
      </x:c>
      <x:c r="B12" s="26" t="n">
        <x:v>396.48</x:v>
      </x:c>
      <x:c r="C12" s="26" t="n">
        <x:v>384.09</x:v>
      </x:c>
      <x:c r="D12" s="26" t="n">
        <x:v>458.43</x:v>
      </x:c>
      <x:c r="E12" s="26" t="n">
        <x:v>422.73</x:v>
      </x:c>
      <x:c r="F12" s="26" t="n">
        <x:v>422.73</x:v>
      </x:c>
      <x:c r="G12" s="26" t="n">
        <x:v>435.54</x:v>
      </x:c>
      <x:c r="H12" s="26" t="n">
        <x:v>416</x:v>
      </x:c>
      <x:c r="I12" s="26" t="n">
        <x:v>429</x:v>
      </x:c>
      <x:c r="J12" s="26" t="n">
        <x:v>455</x:v>
      </x:c>
      <x:c r="K12" s="26" t="n">
        <x:v>441.9</x:v>
      </x:c>
      <x:c r="L12" s="26" t="n">
        <x:v>456.63</x:v>
      </x:c>
      <x:c r="M12" s="26" t="n">
        <x:v>574.47</x:v>
      </x:c>
      <x:c r="N12" s="26" t="n">
        <x:f>SUM(B12:M12)</x:f>
        <x:v>5293</x:v>
      </x:c>
    </x:row>
    <x:row r="13">
      <x:c r="A13" s="35" t="str">
        <x:v>Total expenses</x:v>
      </x:c>
      <x:c r="B13" s="36" t="n">
        <x:v>1883.52</x:v>
      </x:c>
      <x:c r="C13" s="36" t="n">
        <x:v>1824.66</x:v>
      </x:c>
      <x:c r="D13" s="36" t="n">
        <x:v>2177.82</x:v>
      </x:c>
      <x:c r="E13" s="36" t="n">
        <x:v>1995.84</x:v>
      </x:c>
      <x:c r="F13" s="36" t="n">
        <x:v>1995.84</x:v>
      </x:c>
      <x:c r="G13" s="36" t="n">
        <x:v>2056.32</x:v>
      </x:c>
      <x:c r="H13" s="36" t="n">
        <x:v>2006.4</x:v>
      </x:c>
      <x:c r="I13" s="36" t="n">
        <x:v>2069.1</x:v>
      </x:c>
      <x:c r="J13" s="36" t="n">
        <x:v>2194.5</x:v>
      </x:c>
      <x:c r="K13" s="36" t="n">
        <x:v>2049.9</x:v>
      </x:c>
      <x:c r="L13" s="36" t="n">
        <x:v>2118.23</x:v>
      </x:c>
      <x:c r="M13" s="36" t="n">
        <x:v>2664.87</x:v>
      </x:c>
      <x:c r="N13" s="36" t="n">
        <x:f>SUM(B13:M13)</x:f>
        <x:v>25037</x:v>
      </x:c>
    </x:row>
    <x:row r="14">
      <x:c r="A14" s="37" t="str">
        <x:v>Pretax segment income</x:v>
      </x:c>
      <x:c r="B14" s="38" t="n">
        <x:v>554.24</x:v>
      </x:c>
      <x:c r="C14" s="38" t="n">
        <x:v>536.92</x:v>
      </x:c>
      <x:c r="D14" s="38" t="n">
        <x:v>640.84</x:v>
      </x:c>
      <x:c r="E14" s="38" t="n">
        <x:v>553.08</x:v>
      </x:c>
      <x:c r="F14" s="38" t="n">
        <x:v>553.08</x:v>
      </x:c>
      <x:c r="G14" s="38" t="n">
        <x:v>569.84</x:v>
      </x:c>
      <x:c r="H14" s="38" t="n">
        <x:v>592.64</x:v>
      </x:c>
      <x:c r="I14" s="38" t="n">
        <x:v>611.16</x:v>
      </x:c>
      <x:c r="J14" s="38" t="n">
        <x:v>648.2</x:v>
      </x:c>
      <x:c r="K14" s="38" t="n">
        <x:v>465</x:v>
      </x:c>
      <x:c r="L14" s="38" t="n">
        <x:v>480.5</x:v>
      </x:c>
      <x:c r="M14" s="38" t="n">
        <x:v>604.5</x:v>
      </x:c>
      <x:c r="N14" s="38" t="n">
        <x:f>SUM(B14:M14)</x:f>
        <x:v>6810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15" t="str">
        <x:v>2025 AOP vs Actual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Variance convention: positive revenue and pretax variance are favorable. Positive expense variance is unfavorable.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Metric</x:v>
      </x:c>
      <x:c r="B4" s="24" t="str">
        <x:v>AOP</x:v>
      </x:c>
      <x:c r="C4" s="24" t="str">
        <x:v>Actual</x:v>
      </x:c>
      <x:c r="D4" s="24" t="str">
        <x:v>Variance</x:v>
      </x:c>
      <x:c r="E4" s="24" t="str">
        <x:v>Variance %</x:v>
      </x:c>
    </x:row>
    <x:row r="5">
      <x:c r="A5" s="25" t="str">
        <x:v>Total revenue</x:v>
      </x:c>
      <x:c r="B5" s="26" t="n">
        <x:f>'2025 AOP'!N8</x:f>
        <x:v>34469</x:v>
      </x:c>
      <x:c r="C5" s="26" t="n">
        <x:f>'2025 Actual'!N8</x:f>
        <x:v>34814</x:v>
      </x:c>
      <x:c r="D5" s="26" t="n">
        <x:f>C5-B5</x:f>
        <x:v>345</x:v>
      </x:c>
      <x:c r="E5" s="27" t="n">
        <x:f>IFERROR(D5/B5,0)</x:f>
        <x:v>0.010008993588441789</x:v>
      </x:c>
    </x:row>
    <x:row r="6">
      <x:c r="A6" s="25" t="str">
        <x:v>Provision</x:v>
      </x:c>
      <x:c r="B6" s="26" t="n">
        <x:f>'2025 AOP'!N9</x:f>
        <x:v>3099.9999999999995</x:v>
      </x:c>
      <x:c r="C6" s="26" t="n">
        <x:f>'2025 Actual'!N9</x:f>
        <x:v>2967</x:v>
      </x:c>
      <x:c r="D6" s="26" t="n">
        <x:f>C6-B6</x:f>
        <x:v>-132.99999999999955</x:v>
      </x:c>
      <x:c r="E6" s="27" t="n">
        <x:f>IFERROR(D6/B6,0)</x:f>
        <x:v>-0.04290322580645147</x:v>
      </x:c>
    </x:row>
    <x:row r="7">
      <x:c r="A7" s="25" t="str">
        <x:v>Rewards &amp; services</x:v>
      </x:c>
      <x:c r="B7" s="26" t="n">
        <x:f>'2025 AOP'!N10</x:f>
        <x:v>15976.8</x:v>
      </x:c>
      <x:c r="C7" s="26" t="n">
        <x:f>'2025 Actual'!N10</x:f>
        <x:v>16557</x:v>
      </x:c>
      <x:c r="D7" s="26" t="n">
        <x:f>C7-B7</x:f>
        <x:v>580.2000000000007</x:v>
      </x:c>
      <x:c r="E7" s="27" t="n">
        <x:f>IFERROR(D7/B7,0)</x:f>
        <x:v>0.03631515697761759</x:v>
      </x:c>
    </x:row>
    <x:row r="8">
      <x:c r="A8" s="25" t="str">
        <x:v>Marketing</x:v>
      </x:c>
      <x:c r="B8" s="26" t="n">
        <x:f>'2025 AOP'!N11</x:f>
        <x:v>3179.9999999999995</x:v>
      </x:c>
      <x:c r="C8" s="26" t="n">
        <x:f>'2025 Actual'!N11</x:f>
        <x:v>3187</x:v>
      </x:c>
      <x:c r="D8" s="26" t="n">
        <x:f>C8-B8</x:f>
        <x:v>7.000000000000455</x:v>
      </x:c>
      <x:c r="E8" s="27" t="n">
        <x:f>IFERROR(D8/B8,0)</x:f>
        <x:v>0.0022012578616353636</x:v>
      </x:c>
    </x:row>
    <x:row r="9">
      <x:c r="A9" s="25" t="str">
        <x:v>Salaries &amp; other OpEx</x:v>
      </x:c>
      <x:c r="B9" s="26" t="n">
        <x:f>'2025 AOP'!N12</x:f>
        <x:v>5012.300000000001</x:v>
      </x:c>
      <x:c r="C9" s="26" t="n">
        <x:f>'2025 Actual'!N12</x:f>
        <x:v>5293</x:v>
      </x:c>
      <x:c r="D9" s="26" t="n">
        <x:f>C9-B9</x:f>
        <x:v>280.6999999999989</x:v>
      </x:c>
      <x:c r="E9" s="27" t="n">
        <x:f>IFERROR(D9/B9,0)</x:f>
        <x:v>0.05600223450312209</x:v>
      </x:c>
    </x:row>
    <x:row r="10">
      <x:c r="A10" s="25" t="str">
        <x:v>Total expenses</x:v>
      </x:c>
      <x:c r="B10" s="26" t="n">
        <x:f>'2025 AOP'!N13</x:f>
        <x:v>24169.1</x:v>
      </x:c>
      <x:c r="C10" s="26" t="n">
        <x:f>'2025 Actual'!N13</x:f>
        <x:v>25037</x:v>
      </x:c>
      <x:c r="D10" s="26" t="n">
        <x:f>C10-B10</x:f>
        <x:v>867.9000000000015</x:v>
      </x:c>
      <x:c r="E10" s="27" t="n">
        <x:f>IFERROR(D10/B10,0)</x:f>
        <x:v>0.03590948773433854</x:v>
      </x:c>
    </x:row>
    <x:row r="11">
      <x:c r="A11" s="25" t="str">
        <x:v>Pretax income</x:v>
      </x:c>
      <x:c r="B11" s="26" t="n">
        <x:f>'2025 AOP'!N14</x:f>
        <x:v>7199.9</x:v>
      </x:c>
      <x:c r="C11" s="26" t="n">
        <x:f>'2025 Actual'!N14</x:f>
        <x:v>6810</x:v>
      </x:c>
      <x:c r="D11" s="26" t="n">
        <x:f>C11-B11</x:f>
        <x:v>-389.89999999999964</x:v>
      </x:c>
      <x:c r="E11" s="27" t="n">
        <x:f>IFERROR(D11/B11,0)</x:f>
        <x:v>-0.054153529910137596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15" t="str">
        <x:v>FY2026 Forecast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2026 AOP vs Q2 latest estimate. Q1 and Q2 are public actuals; Q3 and Q4 remain forecast.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Metric</x:v>
      </x:c>
      <x:c r="B4" s="24" t="str">
        <x:v>2026 AOP</x:v>
      </x:c>
      <x:c r="C4" s="24" t="str">
        <x:v>Q2 2026 LE</x:v>
      </x:c>
      <x:c r="D4" s="24" t="str">
        <x:v>LE vs AOP</x:v>
      </x:c>
    </x:row>
    <x:row r="5">
      <x:c r="A5" s="25" t="str">
        <x:v>Total revenue net of interest expense</x:v>
      </x:c>
      <x:c r="B5" s="26" t="n">
        <x:v>38295.4</x:v>
      </x:c>
      <x:c r="C5" s="26" t="n">
        <x:v>38370.1</x:v>
      </x:c>
      <x:c r="D5" s="26" t="n">
        <x:f>C5-B5</x:f>
        <x:v>74.69999999999709</x:v>
      </x:c>
    </x:row>
    <x:row r="6">
      <x:c r="A6" s="25" t="str">
        <x:v>Provision for credit losses</x:v>
      </x:c>
      <x:c r="B6" s="26" t="n">
        <x:v>3100</x:v>
      </x:c>
      <x:c r="C6" s="26" t="n">
        <x:v>2569</x:v>
      </x:c>
      <x:c r="D6" s="26" t="n">
        <x:f>C6-B6</x:f>
        <x:v>-531</x:v>
      </x:c>
    </x:row>
    <x:row r="7">
      <x:c r="A7" s="25" t="str">
        <x:v>Rewards, business development &amp; services</x:v>
      </x:c>
      <x:c r="B7" s="26" t="n">
        <x:v>18250</x:v>
      </x:c>
      <x:c r="C7" s="26" t="n">
        <x:v>18900</x:v>
      </x:c>
      <x:c r="D7" s="26" t="n">
        <x:f>C7-B7</x:f>
        <x:v>650</x:v>
      </x:c>
    </x:row>
    <x:row r="8">
      <x:c r="A8" s="25" t="str">
        <x:v>Marketing</x:v>
      </x:c>
      <x:c r="B8" s="26" t="n">
        <x:v>3450</x:v>
      </x:c>
      <x:c r="C8" s="26" t="n">
        <x:v>3287</x:v>
      </x:c>
      <x:c r="D8" s="26" t="n">
        <x:f>C8-B8</x:f>
        <x:v>-163</x:v>
      </x:c>
    </x:row>
    <x:row r="9">
      <x:c r="A9" s="25" t="str">
        <x:v>Salaries, benefits &amp; other OpEx</x:v>
      </x:c>
      <x:c r="B9" s="26" t="n">
        <x:v>5650</x:v>
      </x:c>
      <x:c r="C9" s="26" t="n">
        <x:v>5720</x:v>
      </x:c>
      <x:c r="D9" s="26" t="n">
        <x:f>C9-B9</x:f>
        <x:v>70</x:v>
      </x:c>
    </x:row>
    <x:row r="10">
      <x:c r="A10" s="25" t="str">
        <x:v>Total expenses</x:v>
      </x:c>
      <x:c r="B10" s="26" t="n">
        <x:v>27350</x:v>
      </x:c>
      <x:c r="C10" s="26" t="n">
        <x:v>27907</x:v>
      </x:c>
      <x:c r="D10" s="26" t="n">
        <x:f>C10-B10</x:f>
        <x:v>557</x:v>
      </x:c>
    </x:row>
    <x:row r="11">
      <x:c r="A11" s="25" t="str">
        <x:v>Pretax segment income</x:v>
      </x:c>
      <x:c r="B11" s="26" t="n">
        <x:v>7845.4</x:v>
      </x:c>
      <x:c r="C11" s="26" t="n">
        <x:v>7894.1</x:v>
      </x:c>
      <x:c r="D11" s="26" t="n">
        <x:f>C11-B11</x:f>
        <x:v>48.70000000000073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130000114440918" hidden="0" customWidth="1"/>
    <x:col min="2" max="2" width="15.380000114440918" hidden="0" customWidth="1"/>
    <x:col min="3" max="3" width="17.8799991607666" hidden="0" customWidth="1"/>
    <x:col min="4" max="4" width="14.25" hidden="0" customWidth="1"/>
    <x:col min="5" max="5" width="6.130000114440918" hidden="0" customWidth="1"/>
    <x:col min="6" max="6" width="13.5" hidden="0" customWidth="1"/>
    <x:col min="7" max="7" width="11.630000114440918" hidden="0" customWidth="1"/>
    <x:col min="8" max="8" width="18.25" hidden="0" customWidth="1"/>
  </x:cols>
  <x:sheetData>
    <x:row r="1" ht="30" customHeight="1">
      <x:c r="A1" s="15" t="str">
        <x:v>Revenue Drivers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Spend, lending, fee and other revenue components. Product splits are synthetic allocations.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Month</x:v>
      </x:c>
      <x:c r="B4" s="24" t="str">
        <x:v>Billed Business ($B)</x:v>
      </x:c>
      <x:c r="C4" s="24" t="str">
        <x:v>Spend-related revenue</x:v>
      </x:c>
      <x:c r="D4" s="24" t="str">
        <x:v>Monetization rate</x:v>
      </x:c>
      <x:c r="E4" s="24" t="str">
        <x:v>NII</x:v>
      </x:c>
      <x:c r="F4" s="24" t="str">
        <x:v>Card fee revenue</x:v>
      </x:c>
      <x:c r="G4" s="24" t="str">
        <x:v>Other revenue</x:v>
      </x:c>
      <x:c r="H4" s="24" t="str">
        <x:v>Classification</x:v>
      </x:c>
    </x:row>
    <x:row r="5">
      <x:c r="A5" s="39" t="n">
        <x:v>45658</x:v>
      </x:c>
      <x:c r="B5" s="40" t="n">
        <x:v>52.576</x:v>
      </x:c>
      <x:c r="C5" s="40" t="n">
        <x:v>1140.8768</x:v>
      </x:c>
      <x:c r="D5" s="41" t="n">
        <x:v>0.021699573950091297</x:v>
      </x:c>
      <x:c r="E5" s="40" t="n">
        <x:v>961.92</x:v>
      </x:c>
      <x:c r="F5" s="40" t="n">
        <x:v>402.6624</x:v>
      </x:c>
      <x:c r="G5" s="40" t="n">
        <x:v>134.2208</x:v>
      </x:c>
      <x:c r="H5" s="25" t="str">
        <x:v>SYNTHETIC_ALLOCATED</x:v>
      </x:c>
    </x:row>
    <x:row r="6">
      <x:c r="A6" s="39" t="n">
        <x:v>45689</x:v>
      </x:c>
      <x:c r="B6" s="40" t="n">
        <x:v>50.933</x:v>
      </x:c>
      <x:c r="C6" s="40" t="n">
        <x:v>1105.2244</x:v>
      </x:c>
      <x:c r="D6" s="41" t="n">
        <x:v>0.021699573950091297</x:v>
      </x:c>
      <x:c r="E6" s="40" t="n">
        <x:v>931.86</x:v>
      </x:c>
      <x:c r="F6" s="40" t="n">
        <x:v>390.07919999999996</x:v>
      </x:c>
      <x:c r="G6" s="40" t="n">
        <x:v>130.0263999999999</x:v>
      </x:c>
      <x:c r="H6" s="25" t="str">
        <x:v>SYNTHETIC_ALLOCATED</x:v>
      </x:c>
    </x:row>
    <x:row r="7">
      <x:c r="A7" s="39" t="n">
        <x:v>45717</x:v>
      </x:c>
      <x:c r="B7" s="40" t="n">
        <x:v>60.791</x:v>
      </x:c>
      <x:c r="C7" s="40" t="n">
        <x:v>1319.1388000000002</x:v>
      </x:c>
      <x:c r="D7" s="41" t="n">
        <x:v>0.0216995739500913</x:v>
      </x:c>
      <x:c r="E7" s="40" t="n">
        <x:v>1112.22</x:v>
      </x:c>
      <x:c r="F7" s="40" t="n">
        <x:v>465.5784</x:v>
      </x:c>
      <x:c r="G7" s="40" t="n">
        <x:v>155.19279999999992</x:v>
      </x:c>
      <x:c r="H7" s="25" t="str">
        <x:v>SYNTHETIC_ALLOCATED</x:v>
      </x:c>
    </x:row>
    <x:row r="8">
      <x:c r="A8" s="39" t="n">
        <x:v>45748</x:v>
      </x:c>
      <x:c r="B8" s="40" t="n">
        <x:v>58.245</x:v>
      </x:c>
      <x:c r="C8" s="40" t="n">
        <x:v>1243.1760000000002</x:v>
      </x:c>
      <x:c r="D8" s="41" t="n">
        <x:v>0.02134390934844193</x:v>
      </x:c>
      <x:c r="E8" s="40" t="n">
        <x:v>994.29</x:v>
      </x:c>
      <x:c r="F8" s="40" t="n">
        <x:v>438.768</x:v>
      </x:c>
      <x:c r="G8" s="40" t="n">
        <x:v>146.25599999999991</x:v>
      </x:c>
      <x:c r="H8" s="25" t="str">
        <x:v>SYNTHETIC_ALLOCATED</x:v>
      </x:c>
    </x:row>
    <x:row r="9">
      <x:c r="A9" s="39" t="n">
        <x:v>45778</x:v>
      </x:c>
      <x:c r="B9" s="40" t="n">
        <x:v>58.245</x:v>
      </x:c>
      <x:c r="C9" s="40" t="n">
        <x:v>1243.1760000000002</x:v>
      </x:c>
      <x:c r="D9" s="41" t="n">
        <x:v>0.02134390934844193</x:v>
      </x:c>
      <x:c r="E9" s="40" t="n">
        <x:v>994.29</x:v>
      </x:c>
      <x:c r="F9" s="40" t="n">
        <x:v>438.768</x:v>
      </x:c>
      <x:c r="G9" s="40" t="n">
        <x:v>146.25599999999991</x:v>
      </x:c>
      <x:c r="H9" s="25" t="str">
        <x:v>SYNTHETIC_ALLOCATED</x:v>
      </x:c>
    </x:row>
    <x:row r="10">
      <x:c r="A10" s="39" t="n">
        <x:v>45809</x:v>
      </x:c>
      <x:c r="B10" s="40" t="n">
        <x:v>60.01</x:v>
      </x:c>
      <x:c r="C10" s="40" t="n">
        <x:v>1280.848</x:v>
      </x:c>
      <x:c r="D10" s="41" t="n">
        <x:v>0.021343909348441926</x:v>
      </x:c>
      <x:c r="E10" s="40" t="n">
        <x:v>1024.42</x:v>
      </x:c>
      <x:c r="F10" s="40" t="n">
        <x:v>452.06399999999996</x:v>
      </x:c>
      <x:c r="G10" s="40" t="n">
        <x:v>150.688</x:v>
      </x:c>
      <x:c r="H10" s="25" t="str">
        <x:v>SYNTHETIC_ALLOCATED</x:v>
      </x:c>
    </x:row>
    <x:row r="11">
      <x:c r="A11" s="39" t="n">
        <x:v>45839</x:v>
      </x:c>
      <x:c r="B11" s="40" t="n">
        <x:v>56.8</x:v>
      </x:c>
      <x:c r="C11" s="40" t="n">
        <x:v>1222.9120000000003</x:v>
      </x:c>
      <x:c r="D11" s="41" t="n">
        <x:v>0.021530140845070427</x:v>
      </x:c>
      <x:c r="E11" s="40" t="n">
        <x:v>1035.52</x:v>
      </x:c>
      <x:c r="F11" s="40" t="n">
        <x:v>431.616</x:v>
      </x:c>
      <x:c r="G11" s="40" t="n">
        <x:v>143.87199999999984</x:v>
      </x:c>
      <x:c r="H11" s="25" t="str">
        <x:v>SYNTHETIC_ALLOCATED</x:v>
      </x:c>
    </x:row>
    <x:row r="12">
      <x:c r="A12" s="39" t="n">
        <x:v>45870</x:v>
      </x:c>
      <x:c r="B12" s="40" t="n">
        <x:v>58.575</x:v>
      </x:c>
      <x:c r="C12" s="40" t="n">
        <x:v>1261.128</x:v>
      </x:c>
      <x:c r="D12" s="41" t="n">
        <x:v>0.021530140845070423</x:v>
      </x:c>
      <x:c r="E12" s="40" t="n">
        <x:v>1067.88</x:v>
      </x:c>
      <x:c r="F12" s="40" t="n">
        <x:v>445.104</x:v>
      </x:c>
      <x:c r="G12" s="40" t="n">
        <x:v>148.368</x:v>
      </x:c>
      <x:c r="H12" s="25" t="str">
        <x:v>SYNTHETIC_ALLOCATED</x:v>
      </x:c>
    </x:row>
    <x:row r="13">
      <x:c r="A13" s="39" t="n">
        <x:v>45901</x:v>
      </x:c>
      <x:c r="B13" s="40" t="n">
        <x:v>62.125</x:v>
      </x:c>
      <x:c r="C13" s="40" t="n">
        <x:v>1337.5600000000002</x:v>
      </x:c>
      <x:c r="D13" s="41" t="n">
        <x:v>0.021530140845070427</x:v>
      </x:c>
      <x:c r="E13" s="40" t="n">
        <x:v>1132.6</x:v>
      </x:c>
      <x:c r="F13" s="40" t="n">
        <x:v>472.08</x:v>
      </x:c>
      <x:c r="G13" s="40" t="n">
        <x:v>157.35999999999984</x:v>
      </x:c>
      <x:c r="H13" s="25" t="str">
        <x:v>SYNTHETIC_ALLOCATED</x:v>
      </x:c>
    </x:row>
    <x:row r="14">
      <x:c r="A14" s="39" t="n">
        <x:v>45931</x:v>
      </x:c>
      <x:c r="B14" s="40" t="n">
        <x:v>56.76</x:v>
      </x:c>
      <x:c r="C14" s="40" t="n">
        <x:v>1204.4160000000002</x:v>
      </x:c>
      <x:c r="D14" s="41" t="n">
        <x:v>0.021219450317124737</x:v>
      </x:c>
      <x:c r="E14" s="40" t="n">
        <x:v>975.6</x:v>
      </x:c>
      <x:c r="F14" s="40" t="n">
        <x:v>425.088</x:v>
      </x:c>
      <x:c r="G14" s="40" t="n">
        <x:v>141.69599999999986</x:v>
      </x:c>
      <x:c r="H14" s="25" t="str">
        <x:v>SYNTHETIC_ALLOCATED</x:v>
      </x:c>
    </x:row>
    <x:row r="15">
      <x:c r="A15" s="39" t="n">
        <x:v>45962</x:v>
      </x:c>
      <x:c r="B15" s="40" t="n">
        <x:v>58.652</x:v>
      </x:c>
      <x:c r="C15" s="40" t="n">
        <x:v>1244.5632</x:v>
      </x:c>
      <x:c r="D15" s="41" t="n">
        <x:v>0.021219450317124737</x:v>
      </x:c>
      <x:c r="E15" s="40" t="n">
        <x:v>1008.12</x:v>
      </x:c>
      <x:c r="F15" s="40" t="n">
        <x:v>439.25759999999997</x:v>
      </x:c>
      <x:c r="G15" s="40" t="n">
        <x:v>146.4192</x:v>
      </x:c>
      <x:c r="H15" s="25" t="str">
        <x:v>SYNTHETIC_ALLOCATED</x:v>
      </x:c>
    </x:row>
    <x:row r="16">
      <x:c r="A16" s="39" t="n">
        <x:v>45992</x:v>
      </x:c>
      <x:c r="B16" s="40" t="n">
        <x:v>73.788</x:v>
      </x:c>
      <x:c r="C16" s="40" t="n">
        <x:v>1565.7408</x:v>
      </x:c>
      <x:c r="D16" s="41" t="n">
        <x:v>0.021219450317124737</x:v>
      </x:c>
      <x:c r="E16" s="40" t="n">
        <x:v>1268.28</x:v>
      </x:c>
      <x:c r="F16" s="40" t="n">
        <x:v>552.6143999999999</x:v>
      </x:c>
      <x:c r="G16" s="40" t="n">
        <x:v>184.20479999999998</x:v>
      </x:c>
      <x:c r="H16" s="25" t="str">
        <x:v>SYNTHETIC_ALLOCATED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 ht="30" customHeight="1">
      <x:c r="A1" s="15" t="str">
        <x:v>Billed Business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Monthly plan and synthetic actual allocation in USD billions.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Month</x:v>
      </x:c>
      <x:c r="B4" s="24" t="str">
        <x:v>2025 AOP</x:v>
      </x:c>
      <x:c r="C4" s="24" t="str">
        <x:v>2025 Actual allocation</x:v>
      </x:c>
    </x:row>
    <x:row r="5">
      <x:c r="A5" s="39" t="n">
        <x:v>45658</x:v>
      </x:c>
      <x:c r="B5" s="40" t="n">
        <x:v>53.263628</x:v>
      </x:c>
      <x:c r="C5" s="40" t="n">
        <x:v>52.576</x:v>
      </x:c>
    </x:row>
    <x:row r="6">
      <x:c r="A6" s="39" t="n">
        <x:v>45689</x:v>
      </x:c>
      <x:c r="B6" s="40" t="n">
        <x:v>51.59914</x:v>
      </x:c>
      <x:c r="C6" s="40" t="n">
        <x:v>50.933</x:v>
      </x:c>
    </x:row>
    <x:row r="7">
      <x:c r="A7" s="39" t="n">
        <x:v>45717</x:v>
      </x:c>
      <x:c r="B7" s="40" t="n">
        <x:v>61.586071</x:v>
      </x:c>
      <x:c r="C7" s="40" t="n">
        <x:v>60.791</x:v>
      </x:c>
    </x:row>
    <x:row r="8">
      <x:c r="A8" s="39" t="n">
        <x:v>45748</x:v>
      </x:c>
      <x:c r="B8" s="40" t="n">
        <x:v>59.11755</x:v>
      </x:c>
      <x:c r="C8" s="40" t="n">
        <x:v>58.245</x:v>
      </x:c>
    </x:row>
    <x:row r="9">
      <x:c r="A9" s="39" t="n">
        <x:v>45778</x:v>
      </x:c>
      <x:c r="B9" s="40" t="n">
        <x:v>59.11755</x:v>
      </x:c>
      <x:c r="C9" s="40" t="n">
        <x:v>58.245</x:v>
      </x:c>
    </x:row>
    <x:row r="10">
      <x:c r="A10" s="39" t="n">
        <x:v>45809</x:v>
      </x:c>
      <x:c r="B10" s="40" t="n">
        <x:v>60.90899</x:v>
      </x:c>
      <x:c r="C10" s="40" t="n">
        <x:v>60.01</x:v>
      </x:c>
    </x:row>
    <x:row r="11">
      <x:c r="A11" s="39" t="n">
        <x:v>45839</x:v>
      </x:c>
      <x:c r="B11" s="40" t="n">
        <x:v>56.353891</x:v>
      </x:c>
      <x:c r="C11" s="40" t="n">
        <x:v>56.8</x:v>
      </x:c>
    </x:row>
    <x:row r="12">
      <x:c r="A12" s="39" t="n">
        <x:v>45870</x:v>
      </x:c>
      <x:c r="B12" s="40" t="n">
        <x:v>58.11495</x:v>
      </x:c>
      <x:c r="C12" s="40" t="n">
        <x:v>58.575</x:v>
      </x:c>
    </x:row>
    <x:row r="13">
      <x:c r="A13" s="39" t="n">
        <x:v>45901</x:v>
      </x:c>
      <x:c r="B13" s="40" t="n">
        <x:v>61.637069</x:v>
      </x:c>
      <x:c r="C13" s="40" t="n">
        <x:v>62.125</x:v>
      </x:c>
    </x:row>
    <x:row r="14">
      <x:c r="A14" s="39" t="n">
        <x:v>45931</x:v>
      </x:c>
      <x:c r="B14" s="40" t="n">
        <x:v>56.640348</x:v>
      </x:c>
      <x:c r="C14" s="40" t="n">
        <x:v>56.76</x:v>
      </x:c>
    </x:row>
    <x:row r="15">
      <x:c r="A15" s="39" t="n">
        <x:v>45962</x:v>
      </x:c>
      <x:c r="B15" s="40" t="n">
        <x:v>58.52836</x:v>
      </x:c>
      <x:c r="C15" s="40" t="n">
        <x:v>58.652</x:v>
      </x:c>
    </x:row>
    <x:row r="16">
      <x:c r="A16" s="39" t="n">
        <x:v>45992</x:v>
      </x:c>
      <x:c r="B16" s="40" t="n">
        <x:v>73.632453</x:v>
      </x:c>
      <x:c r="C16" s="40" t="n">
        <x:v>73.788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5" hidden="0" customWidth="1"/>
    <x:col min="2" max="2" width="11.130000114440918" hidden="0" customWidth="1"/>
    <x:col min="3" max="3" width="6.130000114440918" hidden="0" customWidth="1"/>
    <x:col min="4" max="4" width="13.880000114440918" hidden="0" customWidth="1"/>
    <x:col min="5" max="5" width="14.130000114440918" hidden="0" customWidth="1"/>
    <x:col min="6" max="6" width="12.75" hidden="0" customWidth="1"/>
  </x:cols>
  <x:sheetData>
    <x:row r="1" ht="30" customHeight="1">
      <x:c r="A1" s="15" t="str">
        <x:v>Lending &amp; Net Interest Income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Quarterly public card balances and NII. 2026 Q3-Q4 remain forecast in the full-year view.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Period</x:v>
      </x:c>
      <x:c r="B4" s="24" t="str">
        <x:v>Card balances</x:v>
      </x:c>
      <x:c r="C4" s="24" t="str">
        <x:v>NII</x:v>
      </x:c>
      <x:c r="D4" s="24" t="str">
        <x:v>Net write-off rate</x:v>
      </x:c>
      <x:c r="E4" s="24" t="str">
        <x:v>30+ days past due</x:v>
      </x:c>
      <x:c r="F4" s="24" t="str">
        <x:v>Classification</x:v>
      </x:c>
    </x:row>
    <x:row r="5">
      <x:c r="A5" s="25" t="str">
        <x:v>2025Q1</x:v>
      </x:c>
      <x:c r="B5" s="40" t="n">
        <x:v>102.896</x:v>
      </x:c>
      <x:c r="C5" s="40" t="n">
        <x:v>3006</x:v>
      </x:c>
      <x:c r="D5" s="42" t="n">
        <x:v>0.027</x:v>
      </x:c>
      <x:c r="E5" s="42" t="n">
        <x:v>0.013</x:v>
      </x:c>
      <x:c r="F5" s="25" t="str">
        <x:v>PUBLIC_ACTUAL</x:v>
      </x:c>
    </x:row>
    <x:row r="6">
      <x:c r="A6" s="25" t="str">
        <x:v>2025Q2</x:v>
      </x:c>
      <x:c r="B6" s="40" t="n">
        <x:v>105.784</x:v>
      </x:c>
      <x:c r="C6" s="40" t="n">
        <x:v>3013</x:v>
      </x:c>
      <x:c r="D6" s="42" t="n">
        <x:v>0.024</x:v>
      </x:c>
      <x:c r="E6" s="42" t="n">
        <x:v>0.012</x:v>
      </x:c>
      <x:c r="F6" s="25" t="str">
        <x:v>PUBLIC_ACTUAL</x:v>
      </x:c>
    </x:row>
    <x:row r="7">
      <x:c r="A7" s="25" t="str">
        <x:v>2025Q3</x:v>
      </x:c>
      <x:c r="B7" s="40" t="n">
        <x:v>106.969</x:v>
      </x:c>
      <x:c r="C7" s="40" t="n">
        <x:v>3236</x:v>
      </x:c>
      <x:c r="D7" s="42" t="n">
        <x:v>0.023</x:v>
      </x:c>
      <x:c r="E7" s="42" t="n">
        <x:v>0.013</x:v>
      </x:c>
      <x:c r="F7" s="25" t="str">
        <x:v>PUBLIC_ACTUAL</x:v>
      </x:c>
    </x:row>
    <x:row r="8">
      <x:c r="A8" s="25" t="str">
        <x:v>2025Q4</x:v>
      </x:c>
      <x:c r="B8" s="40" t="n">
        <x:v>114.368</x:v>
      </x:c>
      <x:c r="C8" s="40" t="n">
        <x:v>3252</x:v>
      </x:c>
      <x:c r="D8" s="42" t="n">
        <x:v>0.026</x:v>
      </x:c>
      <x:c r="E8" s="42" t="n">
        <x:v>0.013</x:v>
      </x:c>
      <x:c r="F8" s="25" t="str">
        <x:v>PUBLIC_ACTUAL</x:v>
      </x:c>
    </x:row>
    <x:row r="9">
      <x:c r="A9" s="25" t="str">
        <x:v>2026Q1</x:v>
      </x:c>
      <x:c r="B9" s="40" t="n">
        <x:v>110.849</x:v>
      </x:c>
      <x:c r="C9" s="40" t="n">
        <x:v>3321</x:v>
      </x:c>
      <x:c r="D9" s="42" t="n">
        <x:v>0.024</x:v>
      </x:c>
      <x:c r="E9" s="42" t="n">
        <x:v>0.013</x:v>
      </x:c>
      <x:c r="F9" s="25" t="str">
        <x:v>PUBLIC_ACTUAL</x:v>
      </x:c>
    </x:row>
    <x:row r="10">
      <x:c r="A10" s="25" t="str">
        <x:v>2026Q2</x:v>
      </x:c>
      <x:c r="B10" s="40" t="n">
        <x:v>113.796</x:v>
      </x:c>
      <x:c r="C10" s="40" t="n">
        <x:v>3295</x:v>
      </x:c>
      <x:c r="D10" s="42" t="n">
        <x:v>0.023</x:v>
      </x:c>
      <x:c r="E10" s="42" t="n">
        <x:v>0.011</x:v>
      </x:c>
      <x:c r="F10" s="25" t="str">
        <x:v>PUBLIC_ACTUAL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5" hidden="0" customWidth="1"/>
    <x:col min="2" max="2" width="7.630000114440918" hidden="0" customWidth="1"/>
    <x:col min="3" max="3" width="11.130000114440918" hidden="0" customWidth="1"/>
    <x:col min="4" max="4" width="13.880000114440918" hidden="0" customWidth="1"/>
    <x:col min="5" max="5" width="14.130000114440918" hidden="0" customWidth="1"/>
  </x:cols>
  <x:sheetData>
    <x:row r="1" ht="30" customHeight="1">
      <x:c r="A1" s="15" t="str">
        <x:v>Credit Performance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Public quarterly provision, balances, delinquency and net write-off rates.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Period</x:v>
      </x:c>
      <x:c r="B4" s="24" t="str">
        <x:v>Provision</x:v>
      </x:c>
      <x:c r="C4" s="24" t="str">
        <x:v>Card balances</x:v>
      </x:c>
      <x:c r="D4" s="24" t="str">
        <x:v>Net write-off rate</x:v>
      </x:c>
      <x:c r="E4" s="24" t="str">
        <x:v>30+ days past due</x:v>
      </x:c>
    </x:row>
    <x:row r="5">
      <x:c r="A5" s="25" t="str">
        <x:v>2025Q1</x:v>
      </x:c>
      <x:c r="B5" s="40" t="n">
        <x:v>631</x:v>
      </x:c>
      <x:c r="C5" s="40" t="n">
        <x:v>102.896</x:v>
      </x:c>
      <x:c r="D5" s="42" t="n">
        <x:v>0.027</x:v>
      </x:c>
      <x:c r="E5" s="42" t="n">
        <x:v>0.013</x:v>
      </x:c>
    </x:row>
    <x:row r="6">
      <x:c r="A6" s="25" t="str">
        <x:v>2025Q2</x:v>
      </x:c>
      <x:c r="B6" s="40" t="n">
        <x:v>829</x:v>
      </x:c>
      <x:c r="C6" s="40" t="n">
        <x:v>105.784</x:v>
      </x:c>
      <x:c r="D6" s="42" t="n">
        <x:v>0.024</x:v>
      </x:c>
      <x:c r="E6" s="42" t="n">
        <x:v>0.012</x:v>
      </x:c>
    </x:row>
    <x:row r="7">
      <x:c r="A7" s="25" t="str">
        <x:v>2025Q3</x:v>
      </x:c>
      <x:c r="B7" s="40" t="n">
        <x:v>734</x:v>
      </x:c>
      <x:c r="C7" s="40" t="n">
        <x:v>106.969</x:v>
      </x:c>
      <x:c r="D7" s="42" t="n">
        <x:v>0.023</x:v>
      </x:c>
      <x:c r="E7" s="42" t="n">
        <x:v>0.013</x:v>
      </x:c>
    </x:row>
    <x:row r="8">
      <x:c r="A8" s="25" t="str">
        <x:v>2025Q4</x:v>
      </x:c>
      <x:c r="B8" s="40" t="n">
        <x:v>773</x:v>
      </x:c>
      <x:c r="C8" s="40" t="n">
        <x:v>114.368</x:v>
      </x:c>
      <x:c r="D8" s="42" t="n">
        <x:v>0.026</x:v>
      </x:c>
      <x:c r="E8" s="42" t="n">
        <x:v>0.013</x:v>
      </x:c>
    </x:row>
    <x:row r="9">
      <x:c r="A9" s="25" t="str">
        <x:v>2026Q1</x:v>
      </x:c>
      <x:c r="B9" s="40" t="n">
        <x:v>631</x:v>
      </x:c>
      <x:c r="C9" s="40" t="n">
        <x:v>110.849</x:v>
      </x:c>
      <x:c r="D9" s="42" t="n">
        <x:v>0.024</x:v>
      </x:c>
      <x:c r="E9" s="42" t="n">
        <x:v>0.013</x:v>
      </x:c>
    </x:row>
    <x:row r="10">
      <x:c r="A10" s="25" t="str">
        <x:v>2026Q2</x:v>
      </x:c>
      <x:c r="B10" s="40" t="n">
        <x:v>498</x:v>
      </x:c>
      <x:c r="C10" s="40" t="n">
        <x:v>113.796</x:v>
      </x:c>
      <x:c r="D10" s="42" t="n">
        <x:v>0.023</x:v>
      </x:c>
      <x:c r="E10" s="42" t="n">
        <x:v>0.011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 ht="30" customHeight="1">
      <x:c r="A1" s="15" t="str">
        <x:v>Rewards &amp; Membership Economics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Rewards and benefit cost as a share of billed business and revenue.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Month</x:v>
      </x:c>
      <x:c r="B4" s="24" t="str">
        <x:v>Rewards &amp; services</x:v>
      </x:c>
      <x:c r="C4" s="24" t="str">
        <x:v>Billed Business ($B)</x:v>
      </x:c>
      <x:c r="D4" s="24" t="str">
        <x:v>Cost / billed business</x:v>
      </x:c>
      <x:c r="E4" s="24" t="str">
        <x:v>Cost / revenue</x:v>
      </x:c>
    </x:row>
    <x:row r="5">
      <x:c r="A5" s="39" t="n">
        <x:v>45658</x:v>
      </x:c>
      <x:c r="B5" s="40" t="n">
        <x:v>1242.24</x:v>
      </x:c>
      <x:c r="C5" s="40" t="n">
        <x:v>52.576</x:v>
      </x:c>
      <x:c r="D5" s="42" t="n">
        <x:v>0.023627510651247716</x:v>
      </x:c>
      <x:c r="E5" s="42" t="n">
        <x:v>0.47060249727239667</x:v>
      </x:c>
    </x:row>
    <x:row r="6">
      <x:c r="A6" s="39" t="n">
        <x:v>45689</x:v>
      </x:c>
      <x:c r="B6" s="40" t="n">
        <x:v>1203.42</x:v>
      </x:c>
      <x:c r="C6" s="40" t="n">
        <x:v>50.933</x:v>
      </x:c>
      <x:c r="D6" s="42" t="n">
        <x:v>0.02362751065124772</x:v>
      </x:c>
      <x:c r="E6" s="42" t="n">
        <x:v>0.47060249727239667</x:v>
      </x:c>
    </x:row>
    <x:row r="7">
      <x:c r="A7" s="39" t="n">
        <x:v>45717</x:v>
      </x:c>
      <x:c r="B7" s="40" t="n">
        <x:v>1436.34</x:v>
      </x:c>
      <x:c r="C7" s="40" t="n">
        <x:v>60.791</x:v>
      </x:c>
      <x:c r="D7" s="42" t="n">
        <x:v>0.023627510651247716</x:v>
      </x:c>
      <x:c r="E7" s="42" t="n">
        <x:v>0.4706024972723966</x:v>
      </x:c>
    </x:row>
    <x:row r="8">
      <x:c r="A8" s="39" t="n">
        <x:v>45748</x:v>
      </x:c>
      <x:c r="B8" s="40" t="n">
        <x:v>1309.11</x:v>
      </x:c>
      <x:c r="C8" s="40" t="n">
        <x:v>58.245</x:v>
      </x:c>
      <x:c r="D8" s="42" t="n">
        <x:v>0.022475920679886685</x:v>
      </x:c>
      <x:c r="E8" s="42" t="n">
        <x:v>0.4638138664795978</x:v>
      </x:c>
    </x:row>
    <x:row r="9">
      <x:c r="A9" s="39" t="n">
        <x:v>45778</x:v>
      </x:c>
      <x:c r="B9" s="40" t="n">
        <x:v>1309.11</x:v>
      </x:c>
      <x:c r="C9" s="40" t="n">
        <x:v>58.245</x:v>
      </x:c>
      <x:c r="D9" s="42" t="n">
        <x:v>0.022475920679886685</x:v>
      </x:c>
      <x:c r="E9" s="42" t="n">
        <x:v>0.4638138664795978</x:v>
      </x:c>
    </x:row>
    <x:row r="10">
      <x:c r="A10" s="39" t="n">
        <x:v>45809</x:v>
      </x:c>
      <x:c r="B10" s="40" t="n">
        <x:v>1348.78</x:v>
      </x:c>
      <x:c r="C10" s="40" t="n">
        <x:v>60.01</x:v>
      </x:c>
      <x:c r="D10" s="42" t="n">
        <x:v>0.022475920679886685</x:v>
      </x:c>
      <x:c r="E10" s="42" t="n">
        <x:v>0.46381386647959777</x:v>
      </x:c>
    </x:row>
    <x:row r="11">
      <x:c r="A11" s="39" t="n">
        <x:v>45839</x:v>
      </x:c>
      <x:c r="B11" s="40" t="n">
        <x:v>1326.4</x:v>
      </x:c>
      <x:c r="C11" s="40" t="n">
        <x:v>56.8</x:v>
      </x:c>
      <x:c r="D11" s="42" t="n">
        <x:v>0.02335211267605634</x:v>
      </x:c>
      <x:c r="E11" s="42" t="n">
        <x:v>0.46804426377597114</x:v>
      </x:c>
    </x:row>
    <x:row r="12">
      <x:c r="A12" s="39" t="n">
        <x:v>45870</x:v>
      </x:c>
      <x:c r="B12" s="40" t="n">
        <x:v>1367.85</x:v>
      </x:c>
      <x:c r="C12" s="40" t="n">
        <x:v>58.575</x:v>
      </x:c>
      <x:c r="D12" s="42" t="n">
        <x:v>0.023352112676056337</x:v>
      </x:c>
      <x:c r="E12" s="42" t="n">
        <x:v>0.4680442637759711</x:v>
      </x:c>
    </x:row>
    <x:row r="13">
      <x:c r="A13" s="39" t="n">
        <x:v>45901</x:v>
      </x:c>
      <x:c r="B13" s="40" t="n">
        <x:v>1450.75</x:v>
      </x:c>
      <x:c r="C13" s="40" t="n">
        <x:v>62.125</x:v>
      </x:c>
      <x:c r="D13" s="42" t="n">
        <x:v>0.023352112676056337</x:v>
      </x:c>
      <x:c r="E13" s="42" t="n">
        <x:v>0.4680442637759711</x:v>
      </x:c>
    </x:row>
    <x:row r="14">
      <x:c r="A14" s="39" t="n">
        <x:v>45931</x:v>
      </x:c>
      <x:c r="B14" s="40" t="n">
        <x:v>1368.9</x:v>
      </x:c>
      <x:c r="C14" s="40" t="n">
        <x:v>56.76</x:v>
      </x:c>
      <x:c r="D14" s="42" t="n">
        <x:v>0.024117336152219875</x:v>
      </x:c>
      <x:c r="E14" s="42" t="n">
        <x:v>0.4983617300131062</x:v>
      </x:c>
    </x:row>
    <x:row r="15">
      <x:c r="A15" s="39" t="n">
        <x:v>45962</x:v>
      </x:c>
      <x:c r="B15" s="40" t="n">
        <x:v>1414.53</x:v>
      </x:c>
      <x:c r="C15" s="40" t="n">
        <x:v>58.652</x:v>
      </x:c>
      <x:c r="D15" s="42" t="n">
        <x:v>0.024117336152219872</x:v>
      </x:c>
      <x:c r="E15" s="42" t="n">
        <x:v>0.49836173001310613</x:v>
      </x:c>
    </x:row>
    <x:row r="16">
      <x:c r="A16" s="39" t="n">
        <x:v>45992</x:v>
      </x:c>
      <x:c r="B16" s="40" t="n">
        <x:v>1779.57</x:v>
      </x:c>
      <x:c r="C16" s="40" t="n">
        <x:v>73.788</x:v>
      </x:c>
      <x:c r="D16" s="42" t="n">
        <x:v>0.024117336152219872</x:v>
      </x:c>
      <x:c r="E16" s="42" t="n">
        <x:v>0.49836173001310613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 ht="30" customHeight="1">
      <x:c r="A1" s="15" t="str">
        <x:v>Marketing Investment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Total marketing vs AOP and acquisition-channel economics.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Month</x:v>
      </x:c>
      <x:c r="B4" s="24" t="str">
        <x:v>AOP</x:v>
      </x:c>
      <x:c r="C4" s="24" t="str">
        <x:v>Actual allocation</x:v>
      </x:c>
      <x:c r="D4" s="24" t="str">
        <x:v>Variance</x:v>
      </x:c>
    </x:row>
    <x:row r="5">
      <x:c r="A5" s="39" t="n">
        <x:v>45658</x:v>
      </x:c>
      <x:c r="B5" s="26" t="n">
        <x:v>239.808063</x:v>
      </x:c>
      <x:c r="C5" s="26" t="n">
        <x:v>244.8</x:v>
      </x:c>
      <x:c r="D5" s="26" t="n">
        <x:f>C5-B5</x:f>
        <x:v>4.991937000000007</x:v>
      </x:c>
    </x:row>
    <x:row r="6">
      <x:c r="A6" s="39" t="n">
        <x:v>45689</x:v>
      </x:c>
      <x:c r="B6" s="26" t="n">
        <x:v>232.314061</x:v>
      </x:c>
      <x:c r="C6" s="26" t="n">
        <x:v>237.15</x:v>
      </x:c>
      <x:c r="D6" s="26" t="n">
        <x:f>C6-B6</x:f>
        <x:v>4.835938999999996</x:v>
      </x:c>
    </x:row>
    <x:row r="7">
      <x:c r="A7" s="39" t="n">
        <x:v>45717</x:v>
      </x:c>
      <x:c r="B7" s="26" t="n">
        <x:v>277.278073</x:v>
      </x:c>
      <x:c r="C7" s="26" t="n">
        <x:v>283.05</x:v>
      </x:c>
      <x:c r="D7" s="26" t="n">
        <x:f>C7-B7</x:f>
        <x:v>5.771927000000005</x:v>
      </x:c>
    </x:row>
    <x:row r="8">
      <x:c r="A8" s="39" t="n">
        <x:v>45748</x:v>
      </x:c>
      <x:c r="B8" s="26" t="n">
        <x:v>262.779941</x:v>
      </x:c>
      <x:c r="C8" s="26" t="n">
        <x:v>264</x:v>
      </x:c>
      <x:c r="D8" s="26" t="n">
        <x:f>C8-B8</x:f>
        <x:v>1.220058999999992</x:v>
      </x:c>
    </x:row>
    <x:row r="9">
      <x:c r="A9" s="39" t="n">
        <x:v>45778</x:v>
      </x:c>
      <x:c r="B9" s="26" t="n">
        <x:v>262.779941</x:v>
      </x:c>
      <x:c r="C9" s="26" t="n">
        <x:v>264</x:v>
      </x:c>
      <x:c r="D9" s="26" t="n">
        <x:f>C9-B9</x:f>
        <x:v>1.220058999999992</x:v>
      </x:c>
    </x:row>
    <x:row r="10">
      <x:c r="A10" s="39" t="n">
        <x:v>45809</x:v>
      </x:c>
      <x:c r="B10" s="26" t="n">
        <x:v>270.74297</x:v>
      </x:c>
      <x:c r="C10" s="26" t="n">
        <x:v>272</x:v>
      </x:c>
      <x:c r="D10" s="26" t="n">
        <x:f>C10-B10</x:f>
        <x:v>1.257029999999986</x:v>
      </x:c>
    </x:row>
    <x:row r="11">
      <x:c r="A11" s="39" t="n">
        <x:v>45839</x:v>
      </x:c>
      <x:c r="B11" s="26" t="n">
        <x:v>251.815143</x:v>
      </x:c>
      <x:c r="C11" s="26" t="n">
        <x:v>264</x:v>
      </x:c>
      <x:c r="D11" s="26" t="n">
        <x:f>C11-B11</x:f>
        <x:v>12.184856999999994</x:v>
      </x:c>
    </x:row>
    <x:row r="12">
      <x:c r="A12" s="39" t="n">
        <x:v>45870</x:v>
      </x:c>
      <x:c r="B12" s="26" t="n">
        <x:v>259.684366</x:v>
      </x:c>
      <x:c r="C12" s="26" t="n">
        <x:v>272.25</x:v>
      </x:c>
      <x:c r="D12" s="26" t="n">
        <x:f>C12-B12</x:f>
        <x:v>12.565633999999989</x:v>
      </x:c>
    </x:row>
    <x:row r="13">
      <x:c r="A13" s="39" t="n">
        <x:v>45901</x:v>
      </x:c>
      <x:c r="B13" s="26" t="n">
        <x:v>275.422812</x:v>
      </x:c>
      <x:c r="C13" s="26" t="n">
        <x:v>288.75</x:v>
      </x:c>
      <x:c r="D13" s="26" t="n">
        <x:f>C13-B13</x:f>
        <x:v>13.327187999999978</x:v>
      </x:c>
    </x:row>
    <x:row r="14">
      <x:c r="A14" s="39" t="n">
        <x:v>45931</x:v>
      </x:c>
      <x:c r="B14" s="26" t="n">
        <x:v>254.212389</x:v>
      </x:c>
      <x:c r="C14" s="26" t="n">
        <x:v>239.1</x:v>
      </x:c>
      <x:c r="D14" s="26" t="n">
        <x:f>C14-B14</x:f>
        <x:v>-15.112389000000007</x:v>
      </x:c>
    </x:row>
    <x:row r="15">
      <x:c r="A15" s="39" t="n">
        <x:v>45962</x:v>
      </x:c>
      <x:c r="B15" s="26" t="n">
        <x:v>262.686135</x:v>
      </x:c>
      <x:c r="C15" s="26" t="n">
        <x:v>247.07</x:v>
      </x:c>
      <x:c r="D15" s="26" t="n">
        <x:f>C15-B15</x:f>
        <x:v>-15.616134999999986</x:v>
      </x:c>
    </x:row>
    <x:row r="16">
      <x:c r="A16" s="39" t="n">
        <x:v>45992</x:v>
      </x:c>
      <x:c r="B16" s="26" t="n">
        <x:v>330.476106</x:v>
      </x:c>
      <x:c r="C16" s="26" t="n">
        <x:v>310.83</x:v>
      </x:c>
      <x:c r="D16" s="26" t="n">
        <x:f>C16-B16</x:f>
        <x:v>-19.64610600000003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5" t="str">
        <x:v>Customer Acquisition ROI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Illustrative channel economics. Values do not represent reported American Express channel spend.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Channel</x:v>
      </x:c>
      <x:c r="B4" s="24" t="str">
        <x:v>Spend</x:v>
      </x:c>
      <x:c r="C4" s="24" t="str">
        <x:v>New accounts</x:v>
      </x:c>
      <x:c r="D4" s="24" t="str">
        <x:v>CAC ($)</x:v>
      </x:c>
      <x:c r="E4" s="24" t="str">
        <x:v>First-year contribution</x:v>
      </x:c>
      <x:c r="F4" s="24" t="str">
        <x:v>Contribution / $</x:v>
      </x:c>
      <x:c r="G4" s="24" t="str">
        <x:v>Payback (months)</x:v>
      </x:c>
      <x:c r="H4" s="24" t="str">
        <x:v>Break-even CAC ($)</x:v>
      </x:c>
    </x:row>
    <x:row r="5">
      <x:c r="A5" s="25" t="str">
        <x:v>Direct Mail</x:v>
      </x:c>
      <x:c r="B5" s="40" t="n">
        <x:v>493.98499999999996</x:v>
      </x:c>
      <x:c r="C5" s="43" t="n">
        <x:v>1176154.761904762</x:v>
      </x:c>
      <x:c r="D5" s="44" t="n">
        <x:v>420</x:v>
      </x:c>
      <x:c r="E5" s="40" t="n">
        <x:v>729.2159523809524</x:v>
      </x:c>
      <x:c r="F5" s="45" t="n">
        <x:v>1.4761904761904765</x:v>
      </x:c>
      <x:c r="G5" s="46" t="n">
        <x:v>8.129032258064516</x:v>
      </x:c>
      <x:c r="H5" s="44" t="n">
        <x:v>620</x:v>
      </x:c>
    </x:row>
    <x:row r="6">
      <x:c r="A6" s="25" t="str">
        <x:v>Paid Search</x:v>
      </x:c>
      <x:c r="B6" s="40" t="n">
        <x:v>434.7068000000001</x:v>
      </x:c>
      <x:c r="C6" s="43" t="n">
        <x:v>1207518.888888889</x:v>
      </x:c>
      <x:c r="D6" s="44" t="n">
        <x:v>360</x:v>
      </x:c>
      <x:c r="E6" s="40" t="n">
        <x:v>712.4361444444446</x:v>
      </x:c>
      <x:c r="F6" s="45" t="n">
        <x:v>1.6388888888888888</x:v>
      </x:c>
      <x:c r="G6" s="46" t="n">
        <x:v>7.322033898305085</x:v>
      </x:c>
      <x:c r="H6" s="44" t="n">
        <x:v>590</x:v>
      </x:c>
    </x:row>
    <x:row r="7">
      <x:c r="A7" s="25" t="str">
        <x:v>Affiliate / Partner</x:v>
      </x:c>
      <x:c r="B7" s="40" t="n">
        <x:v>553.2632000000001</x:v>
      </x:c>
      <x:c r="C7" s="43" t="n">
        <x:v>1084829.8039215687</x:v>
      </x:c>
      <x:c r="D7" s="44" t="n">
        <x:v>510</x:v>
      </x:c>
      <x:c r="E7" s="40" t="n">
        <x:v>846.1672470588235</x:v>
      </x:c>
      <x:c r="F7" s="45" t="n">
        <x:v>1.529411764705882</x:v>
      </x:c>
      <x:c r="G7" s="46" t="n">
        <x:v>7.846153846153846</x:v>
      </x:c>
      <x:c r="H7" s="44" t="n">
        <x:v>780</x:v>
      </x:c>
    </x:row>
    <x:row r="8">
      <x:c r="A8" s="25" t="str">
        <x:v>Digital / Paid Media</x:v>
      </x:c>
      <x:c r="B8" s="40" t="n">
        <x:v>493.98499999999996</x:v>
      </x:c>
      <x:c r="C8" s="43" t="n">
        <x:v>1266628.2051282052</x:v>
      </x:c>
      <x:c r="D8" s="44" t="n">
        <x:v>390</x:v>
      </x:c>
      <x:c r="E8" s="40" t="n">
        <x:v>772.6432051282053</x:v>
      </x:c>
      <x:c r="F8" s="45" t="n">
        <x:v>1.5641025641025645</x:v>
      </x:c>
      <x:c r="G8" s="46" t="n">
        <x:v>7.672131147540983</x:v>
      </x:c>
      <x:c r="H8" s="44" t="n">
        <x:v>610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130000114440918" hidden="0" customWidth="1"/>
    <x:col min="2" max="2" width="28" hidden="0" customWidth="1"/>
    <x:col min="3" max="3" width="20.6299991607666" hidden="0" customWidth="1"/>
    <x:col min="4" max="4" width="10.630000114440918" hidden="0" customWidth="1"/>
    <x:col min="5" max="5" width="4.5" hidden="0" customWidth="1"/>
    <x:col min="6" max="6" width="7" hidden="0" customWidth="1"/>
    <x:col min="7" max="7" width="8.25" hidden="0" customWidth="1"/>
    <x:col min="8" max="8" width="18.75" hidden="0" customWidth="1"/>
    <x:col min="9" max="9" width="14.880000114440918" hidden="0" customWidth="1"/>
    <x:col min="10" max="10" width="19.8799991607666" hidden="0" customWidth="1"/>
  </x:cols>
  <x:sheetData>
    <x:row r="1" ht="30" customHeight="1">
      <x:c r="A1" s="15" t="str">
        <x:v>Headcount Plan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Illustrative workforce roll-forward by month, cost center and job family.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Month</x:v>
      </x:c>
      <x:c r="B4" s="24" t="str">
        <x:v>Cost center</x:v>
      </x:c>
      <x:c r="C4" s="24" t="str">
        <x:v>Job family</x:v>
      </x:c>
      <x:c r="D4" s="24" t="str">
        <x:v>Beginning HC</x:v>
      </x:c>
      <x:c r="E4" s="24" t="str">
        <x:v>Hires</x:v>
      </x:c>
      <x:c r="F4" s="24" t="str">
        <x:v>Attrition</x:v>
      </x:c>
      <x:c r="G4" s="24" t="str">
        <x:v>Ending HC</x:v>
      </x:c>
      <x:c r="H4" s="24" t="str">
        <x:v>Loaded cost / employee</x:v>
      </x:c>
      <x:c r="I4" s="24" t="str">
        <x:v>Personnel expense</x:v>
      </x:c>
      <x:c r="J4" s="24" t="str">
        <x:v>Classification</x:v>
      </x:c>
    </x:row>
    <x:row r="5">
      <x:c r="A5" s="39" t="n">
        <x:v>45658</x:v>
      </x:c>
      <x:c r="B5" s="25" t="str">
        <x:v>Consumer Card Products &amp; Portfolio</x:v>
      </x:c>
      <x:c r="C5" s="25" t="str">
        <x:v>Analyst / Associate</x:v>
      </x:c>
      <x:c r="D5" s="40" t="n">
        <x:v>499.56</x:v>
      </x:c>
      <x:c r="E5" s="40" t="n">
        <x:v>5.244000000000001</x:v>
      </x:c>
      <x:c r="F5" s="40" t="n">
        <x:v>3.588</x:v>
      </x:c>
      <x:c r="G5" s="40" t="n">
        <x:v>501.216</x:v>
      </x:c>
      <x:c r="H5" s="44" t="n">
        <x:v>145000</x:v>
      </x:c>
      <x:c r="I5" s="40" t="n">
        <x:v>6.046355</x:v>
      </x:c>
      <x:c r="J5" s="25" t="str">
        <x:v>SYNTHETIC_ASSUMPTION</x:v>
      </x:c>
    </x:row>
    <x:row r="6">
      <x:c r="A6" s="39" t="n">
        <x:v>45658</x:v>
      </x:c>
      <x:c r="B6" s="25" t="str">
        <x:v>Consumer Card Products &amp; Portfolio</x:v>
      </x:c>
      <x:c r="C6" s="25" t="str">
        <x:v>Manager / Senior Manager</x:v>
      </x:c>
      <x:c r="D6" s="40" t="n">
        <x:v>336.66</x:v>
      </x:c>
      <x:c r="E6" s="40" t="n">
        <x:v>3.5340000000000003</x:v>
      </x:c>
      <x:c r="F6" s="40" t="n">
        <x:v>2.418</x:v>
      </x:c>
      <x:c r="G6" s="40" t="n">
        <x:v>337.77599999999995</x:v>
      </x:c>
      <x:c r="H6" s="44" t="n">
        <x:v>205000</x:v>
      </x:c>
      <x:c r="I6" s="40" t="n">
        <x:v>5.760807499999999</x:v>
      </x:c>
      <x:c r="J6" s="25" t="str">
        <x:v>SYNTHETIC_ASSUMPTION</x:v>
      </x:c>
    </x:row>
    <x:row r="7">
      <x:c r="A7" s="39" t="n">
        <x:v>45658</x:v>
      </x:c>
      <x:c r="B7" s="25" t="str">
        <x:v>Consumer Card Products &amp; Portfolio</x:v>
      </x:c>
      <x:c r="C7" s="25" t="str">
        <x:v>Director</x:v>
      </x:c>
      <x:c r="D7" s="40" t="n">
        <x:v>184.62</x:v>
      </x:c>
      <x:c r="E7" s="40" t="n">
        <x:v>1.9380000000000002</x:v>
      </x:c>
      <x:c r="F7" s="40" t="n">
        <x:v>1.326</x:v>
      </x:c>
      <x:c r="G7" s="40" t="n">
        <x:v>185.232</x:v>
      </x:c>
      <x:c r="H7" s="44" t="n">
        <x:v>285000</x:v>
      </x:c>
      <x:c r="I7" s="40" t="n">
        <x:v>4.391992500000001</x:v>
      </x:c>
      <x:c r="J7" s="25" t="str">
        <x:v>SYNTHETIC_ASSUMPTION</x:v>
      </x:c>
    </x:row>
    <x:row r="8">
      <x:c r="A8" s="39" t="n">
        <x:v>45658</x:v>
      </x:c>
      <x:c r="B8" s="25" t="str">
        <x:v>Consumer Card Products &amp; Portfolio</x:v>
      </x:c>
      <x:c r="C8" s="25" t="str">
        <x:v>VP+</x:v>
      </x:c>
      <x:c r="D8" s="40" t="n">
        <x:v>65.16</x:v>
      </x:c>
      <x:c r="E8" s="40" t="n">
        <x:v>0.6839999999999999</x:v>
      </x:c>
      <x:c r="F8" s="40" t="n">
        <x:v>0.46799999999999997</x:v>
      </x:c>
      <x:c r="G8" s="40" t="n">
        <x:v>65.37599999999999</x:v>
      </x:c>
      <x:c r="H8" s="44" t="n">
        <x:v>430000</x:v>
      </x:c>
      <x:c r="I8" s="40" t="n">
        <x:v>2.33877</x:v>
      </x:c>
      <x:c r="J8" s="25" t="str">
        <x:v>SYNTHETIC_ASSUMPTION</x:v>
      </x:c>
    </x:row>
    <x:row r="9">
      <x:c r="A9" s="39" t="n">
        <x:v>45658</x:v>
      </x:c>
      <x:c r="B9" s="25" t="str">
        <x:v>Lending &amp; U.S. Consumer Banking</x:v>
      </x:c>
      <x:c r="C9" s="25" t="str">
        <x:v>Analyst / Associate</x:v>
      </x:c>
      <x:c r="D9" s="40" t="n">
        <x:v>499.56</x:v>
      </x:c>
      <x:c r="E9" s="40" t="n">
        <x:v>5.244000000000001</x:v>
      </x:c>
      <x:c r="F9" s="40" t="n">
        <x:v>3.588</x:v>
      </x:c>
      <x:c r="G9" s="40" t="n">
        <x:v>501.216</x:v>
      </x:c>
      <x:c r="H9" s="44" t="n">
        <x:v>145000</x:v>
      </x:c>
      <x:c r="I9" s="40" t="n">
        <x:v>6.046355</x:v>
      </x:c>
      <x:c r="J9" s="25" t="str">
        <x:v>SYNTHETIC_ASSUMPTION</x:v>
      </x:c>
    </x:row>
    <x:row r="10">
      <x:c r="A10" s="39" t="n">
        <x:v>45658</x:v>
      </x:c>
      <x:c r="B10" s="25" t="str">
        <x:v>Lending &amp; U.S. Consumer Banking</x:v>
      </x:c>
      <x:c r="C10" s="25" t="str">
        <x:v>Manager / Senior Manager</x:v>
      </x:c>
      <x:c r="D10" s="40" t="n">
        <x:v>336.66</x:v>
      </x:c>
      <x:c r="E10" s="40" t="n">
        <x:v>3.5340000000000003</x:v>
      </x:c>
      <x:c r="F10" s="40" t="n">
        <x:v>2.418</x:v>
      </x:c>
      <x:c r="G10" s="40" t="n">
        <x:v>337.77599999999995</x:v>
      </x:c>
      <x:c r="H10" s="44" t="n">
        <x:v>205000</x:v>
      </x:c>
      <x:c r="I10" s="40" t="n">
        <x:v>5.760807499999999</x:v>
      </x:c>
      <x:c r="J10" s="25" t="str">
        <x:v>SYNTHETIC_ASSUMPTION</x:v>
      </x:c>
    </x:row>
    <x:row r="11">
      <x:c r="A11" s="39" t="n">
        <x:v>45658</x:v>
      </x:c>
      <x:c r="B11" s="25" t="str">
        <x:v>Lending &amp; U.S. Consumer Banking</x:v>
      </x:c>
      <x:c r="C11" s="25" t="str">
        <x:v>Director</x:v>
      </x:c>
      <x:c r="D11" s="40" t="n">
        <x:v>184.62</x:v>
      </x:c>
      <x:c r="E11" s="40" t="n">
        <x:v>1.9380000000000002</x:v>
      </x:c>
      <x:c r="F11" s="40" t="n">
        <x:v>1.326</x:v>
      </x:c>
      <x:c r="G11" s="40" t="n">
        <x:v>185.232</x:v>
      </x:c>
      <x:c r="H11" s="44" t="n">
        <x:v>285000</x:v>
      </x:c>
      <x:c r="I11" s="40" t="n">
        <x:v>4.391992500000001</x:v>
      </x:c>
      <x:c r="J11" s="25" t="str">
        <x:v>SYNTHETIC_ASSUMPTION</x:v>
      </x:c>
    </x:row>
    <x:row r="12">
      <x:c r="A12" s="39" t="n">
        <x:v>45658</x:v>
      </x:c>
      <x:c r="B12" s="25" t="str">
        <x:v>Lending &amp; U.S. Consumer Banking</x:v>
      </x:c>
      <x:c r="C12" s="25" t="str">
        <x:v>VP+</x:v>
      </x:c>
      <x:c r="D12" s="40" t="n">
        <x:v>65.16</x:v>
      </x:c>
      <x:c r="E12" s="40" t="n">
        <x:v>0.6839999999999999</x:v>
      </x:c>
      <x:c r="F12" s="40" t="n">
        <x:v>0.46799999999999997</x:v>
      </x:c>
      <x:c r="G12" s="40" t="n">
        <x:v>65.37599999999999</x:v>
      </x:c>
      <x:c r="H12" s="44" t="n">
        <x:v>430000</x:v>
      </x:c>
      <x:c r="I12" s="40" t="n">
        <x:v>2.33877</x:v>
      </x:c>
      <x:c r="J12" s="25" t="str">
        <x:v>SYNTHETIC_ASSUMPTION</x:v>
      </x:c>
    </x:row>
    <x:row r="13">
      <x:c r="A13" s="39" t="n">
        <x:v>45658</x:v>
      </x:c>
      <x:c r="B13" s="25" t="str">
        <x:v>Membership Rewards &amp; Card Member Benefits</x:v>
      </x:c>
      <x:c r="C13" s="25" t="str">
        <x:v>Analyst / Associate</x:v>
      </x:c>
      <x:c r="D13" s="40" t="n">
        <x:v>499.56</x:v>
      </x:c>
      <x:c r="E13" s="40" t="n">
        <x:v>5.244000000000001</x:v>
      </x:c>
      <x:c r="F13" s="40" t="n">
        <x:v>3.588</x:v>
      </x:c>
      <x:c r="G13" s="40" t="n">
        <x:v>501.216</x:v>
      </x:c>
      <x:c r="H13" s="44" t="n">
        <x:v>145000</x:v>
      </x:c>
      <x:c r="I13" s="40" t="n">
        <x:v>6.046355</x:v>
      </x:c>
      <x:c r="J13" s="25" t="str">
        <x:v>SYNTHETIC_ASSUMPTION</x:v>
      </x:c>
    </x:row>
    <x:row r="14">
      <x:c r="A14" s="39" t="n">
        <x:v>45658</x:v>
      </x:c>
      <x:c r="B14" s="25" t="str">
        <x:v>Membership Rewards &amp; Card Member Benefits</x:v>
      </x:c>
      <x:c r="C14" s="25" t="str">
        <x:v>Manager / Senior Manager</x:v>
      </x:c>
      <x:c r="D14" s="40" t="n">
        <x:v>336.66</x:v>
      </x:c>
      <x:c r="E14" s="40" t="n">
        <x:v>3.5340000000000003</x:v>
      </x:c>
      <x:c r="F14" s="40" t="n">
        <x:v>2.418</x:v>
      </x:c>
      <x:c r="G14" s="40" t="n">
        <x:v>337.77599999999995</x:v>
      </x:c>
      <x:c r="H14" s="44" t="n">
        <x:v>205000</x:v>
      </x:c>
      <x:c r="I14" s="40" t="n">
        <x:v>5.760807499999999</x:v>
      </x:c>
      <x:c r="J14" s="25" t="str">
        <x:v>SYNTHETIC_ASSUMPTION</x:v>
      </x:c>
    </x:row>
    <x:row r="15">
      <x:c r="A15" s="39" t="n">
        <x:v>45658</x:v>
      </x:c>
      <x:c r="B15" s="25" t="str">
        <x:v>Membership Rewards &amp; Card Member Benefits</x:v>
      </x:c>
      <x:c r="C15" s="25" t="str">
        <x:v>Director</x:v>
      </x:c>
      <x:c r="D15" s="40" t="n">
        <x:v>184.62</x:v>
      </x:c>
      <x:c r="E15" s="40" t="n">
        <x:v>1.9380000000000002</x:v>
      </x:c>
      <x:c r="F15" s="40" t="n">
        <x:v>1.326</x:v>
      </x:c>
      <x:c r="G15" s="40" t="n">
        <x:v>185.232</x:v>
      </x:c>
      <x:c r="H15" s="44" t="n">
        <x:v>285000</x:v>
      </x:c>
      <x:c r="I15" s="40" t="n">
        <x:v>4.391992500000001</x:v>
      </x:c>
      <x:c r="J15" s="25" t="str">
        <x:v>SYNTHETIC_ASSUMPTION</x:v>
      </x:c>
    </x:row>
    <x:row r="16">
      <x:c r="A16" s="39" t="n">
        <x:v>45658</x:v>
      </x:c>
      <x:c r="B16" s="25" t="str">
        <x:v>Membership Rewards &amp; Card Member Benefits</x:v>
      </x:c>
      <x:c r="C16" s="25" t="str">
        <x:v>VP+</x:v>
      </x:c>
      <x:c r="D16" s="40" t="n">
        <x:v>65.16</x:v>
      </x:c>
      <x:c r="E16" s="40" t="n">
        <x:v>0.6839999999999999</x:v>
      </x:c>
      <x:c r="F16" s="40" t="n">
        <x:v>0.46799999999999997</x:v>
      </x:c>
      <x:c r="G16" s="40" t="n">
        <x:v>65.37599999999999</x:v>
      </x:c>
      <x:c r="H16" s="44" t="n">
        <x:v>430000</x:v>
      </x:c>
      <x:c r="I16" s="40" t="n">
        <x:v>2.33877</x:v>
      </x:c>
      <x:c r="J16" s="25" t="str">
        <x:v>SYNTHETIC_ASSUMPTION</x:v>
      </x:c>
    </x:row>
    <x:row r="17">
      <x:c r="A17" s="39" t="n">
        <x:v>45658</x:v>
      </x:c>
      <x:c r="B17" s="25" t="str">
        <x:v>Travel, Lifestyle, Dining &amp; Lounges</x:v>
      </x:c>
      <x:c r="C17" s="25" t="str">
        <x:v>Analyst / Associate</x:v>
      </x:c>
      <x:c r="D17" s="40" t="n">
        <x:v>333.04</x:v>
      </x:c>
      <x:c r="E17" s="40" t="n">
        <x:v>3.4960000000000004</x:v>
      </x:c>
      <x:c r="F17" s="40" t="n">
        <x:v>2.3920000000000003</x:v>
      </x:c>
      <x:c r="G17" s="40" t="n">
        <x:v>334.144</x:v>
      </x:c>
      <x:c r="H17" s="44" t="n">
        <x:v>145000</x:v>
      </x:c>
      <x:c r="I17" s="40" t="n">
        <x:v>4.030903333333334</x:v>
      </x:c>
      <x:c r="J17" s="25" t="str">
        <x:v>SYNTHETIC_ASSUMPTION</x:v>
      </x:c>
    </x:row>
    <x:row r="18">
      <x:c r="A18" s="39" t="n">
        <x:v>45658</x:v>
      </x:c>
      <x:c r="B18" s="25" t="str">
        <x:v>Travel, Lifestyle, Dining &amp; Lounges</x:v>
      </x:c>
      <x:c r="C18" s="25" t="str">
        <x:v>Manager / Senior Manager</x:v>
      </x:c>
      <x:c r="D18" s="40" t="n">
        <x:v>224.44</x:v>
      </x:c>
      <x:c r="E18" s="40" t="n">
        <x:v>2.3560000000000003</x:v>
      </x:c>
      <x:c r="F18" s="40" t="n">
        <x:v>1.612</x:v>
      </x:c>
      <x:c r="G18" s="40" t="n">
        <x:v>225.184</x:v>
      </x:c>
      <x:c r="H18" s="44" t="n">
        <x:v>205000</x:v>
      </x:c>
      <x:c r="I18" s="40" t="n">
        <x:v>3.8405383333333334</x:v>
      </x:c>
      <x:c r="J18" s="25" t="str">
        <x:v>SYNTHETIC_ASSUMPTION</x:v>
      </x:c>
    </x:row>
    <x:row r="19">
      <x:c r="A19" s="39" t="n">
        <x:v>45658</x:v>
      </x:c>
      <x:c r="B19" s="25" t="str">
        <x:v>Travel, Lifestyle, Dining &amp; Lounges</x:v>
      </x:c>
      <x:c r="C19" s="25" t="str">
        <x:v>Director</x:v>
      </x:c>
      <x:c r="D19" s="40" t="n">
        <x:v>123.08000000000001</x:v>
      </x:c>
      <x:c r="E19" s="40" t="n">
        <x:v>1.2920000000000003</x:v>
      </x:c>
      <x:c r="F19" s="40" t="n">
        <x:v>0.8840000000000001</x:v>
      </x:c>
      <x:c r="G19" s="40" t="n">
        <x:v>123.488</x:v>
      </x:c>
      <x:c r="H19" s="44" t="n">
        <x:v>285000</x:v>
      </x:c>
      <x:c r="I19" s="40" t="n">
        <x:v>2.9279950000000006</x:v>
      </x:c>
      <x:c r="J19" s="25" t="str">
        <x:v>SYNTHETIC_ASSUMPTION</x:v>
      </x:c>
    </x:row>
    <x:row r="20">
      <x:c r="A20" s="39" t="n">
        <x:v>45658</x:v>
      </x:c>
      <x:c r="B20" s="25" t="str">
        <x:v>Travel, Lifestyle, Dining &amp; Lounges</x:v>
      </x:c>
      <x:c r="C20" s="25" t="str">
        <x:v>VP+</x:v>
      </x:c>
      <x:c r="D20" s="40" t="n">
        <x:v>43.44</x:v>
      </x:c>
      <x:c r="E20" s="40" t="n">
        <x:v>0.456</x:v>
      </x:c>
      <x:c r="F20" s="40" t="n">
        <x:v>0.312</x:v>
      </x:c>
      <x:c r="G20" s="40" t="n">
        <x:v>43.583999999999996</x:v>
      </x:c>
      <x:c r="H20" s="44" t="n">
        <x:v>430000</x:v>
      </x:c>
      <x:c r="I20" s="40" t="n">
        <x:v>1.55918</x:v>
      </x:c>
      <x:c r="J20" s="25" t="str">
        <x:v>SYNTHETIC_ASSUMPTION</x:v>
      </x:c>
    </x:row>
    <x:row r="21">
      <x:c r="A21" s="39" t="n">
        <x:v>45658</x:v>
      </x:c>
      <x:c r="B21" s="25" t="str">
        <x:v>Cobrand Partnerships &amp; Business Development</x:v>
      </x:c>
      <x:c r="C21" s="25" t="str">
        <x:v>Analyst / Associate</x:v>
      </x:c>
      <x:c r="D21" s="40" t="n">
        <x:v>416.3</x:v>
      </x:c>
      <x:c r="E21" s="40" t="n">
        <x:v>4.37</x:v>
      </x:c>
      <x:c r="F21" s="40" t="n">
        <x:v>2.99</x:v>
      </x:c>
      <x:c r="G21" s="40" t="n">
        <x:v>417.68</x:v>
      </x:c>
      <x:c r="H21" s="44" t="n">
        <x:v>145000</x:v>
      </x:c>
      <x:c r="I21" s="40" t="n">
        <x:v>5.038629166666667</x:v>
      </x:c>
      <x:c r="J21" s="25" t="str">
        <x:v>SYNTHETIC_ASSUMPTION</x:v>
      </x:c>
    </x:row>
    <x:row r="22">
      <x:c r="A22" s="39" t="n">
        <x:v>45658</x:v>
      </x:c>
      <x:c r="B22" s="25" t="str">
        <x:v>Cobrand Partnerships &amp; Business Development</x:v>
      </x:c>
      <x:c r="C22" s="25" t="str">
        <x:v>Manager / Senior Manager</x:v>
      </x:c>
      <x:c r="D22" s="40" t="n">
        <x:v>280.55</x:v>
      </x:c>
      <x:c r="E22" s="40" t="n">
        <x:v>2.945</x:v>
      </x:c>
      <x:c r="F22" s="40" t="n">
        <x:v>2.015</x:v>
      </x:c>
      <x:c r="G22" s="40" t="n">
        <x:v>281.48</x:v>
      </x:c>
      <x:c r="H22" s="44" t="n">
        <x:v>205000</x:v>
      </x:c>
      <x:c r="I22" s="40" t="n">
        <x:v>4.800672916666667</x:v>
      </x:c>
      <x:c r="J22" s="25" t="str">
        <x:v>SYNTHETIC_ASSUMPTION</x:v>
      </x:c>
    </x:row>
    <x:row r="23">
      <x:c r="A23" s="39" t="n">
        <x:v>45658</x:v>
      </x:c>
      <x:c r="B23" s="25" t="str">
        <x:v>Cobrand Partnerships &amp; Business Development</x:v>
      </x:c>
      <x:c r="C23" s="25" t="str">
        <x:v>Director</x:v>
      </x:c>
      <x:c r="D23" s="40" t="n">
        <x:v>153.85000000000002</x:v>
      </x:c>
      <x:c r="E23" s="40" t="n">
        <x:v>1.6150000000000002</x:v>
      </x:c>
      <x:c r="F23" s="40" t="n">
        <x:v>1.105</x:v>
      </x:c>
      <x:c r="G23" s="40" t="n">
        <x:v>154.36</x:v>
      </x:c>
      <x:c r="H23" s="44" t="n">
        <x:v>285000</x:v>
      </x:c>
      <x:c r="I23" s="40" t="n">
        <x:v>3.6599937500000004</x:v>
      </x:c>
      <x:c r="J23" s="25" t="str">
        <x:v>SYNTHETIC_ASSUMPTION</x:v>
      </x:c>
    </x:row>
    <x:row r="24">
      <x:c r="A24" s="39" t="n">
        <x:v>45658</x:v>
      </x:c>
      <x:c r="B24" s="25" t="str">
        <x:v>Cobrand Partnerships &amp; Business Development</x:v>
      </x:c>
      <x:c r="C24" s="25" t="str">
        <x:v>VP+</x:v>
      </x:c>
      <x:c r="D24" s="40" t="n">
        <x:v>54.3</x:v>
      </x:c>
      <x:c r="E24" s="40" t="n">
        <x:v>0.57</x:v>
      </x:c>
      <x:c r="F24" s="40" t="n">
        <x:v>0.39</x:v>
      </x:c>
      <x:c r="G24" s="40" t="n">
        <x:v>54.48</x:v>
      </x:c>
      <x:c r="H24" s="44" t="n">
        <x:v>430000</x:v>
      </x:c>
      <x:c r="I24" s="40" t="n">
        <x:v>1.948975</x:v>
      </x:c>
      <x:c r="J24" s="25" t="str">
        <x:v>SYNTHETIC_ASSUMPTION</x:v>
      </x:c>
    </x:row>
    <x:row r="25">
      <x:c r="A25" s="39" t="n">
        <x:v>45658</x:v>
      </x:c>
      <x:c r="B25" s="25" t="str">
        <x:v>U.S. Consumer Marketing &amp; Acquisition</x:v>
      </x:c>
      <x:c r="C25" s="25" t="str">
        <x:v>Analyst / Associate</x:v>
      </x:c>
      <x:c r="D25" s="40" t="n">
        <x:v>499.56</x:v>
      </x:c>
      <x:c r="E25" s="40" t="n">
        <x:v>5.244000000000001</x:v>
      </x:c>
      <x:c r="F25" s="40" t="n">
        <x:v>3.588</x:v>
      </x:c>
      <x:c r="G25" s="40" t="n">
        <x:v>501.216</x:v>
      </x:c>
      <x:c r="H25" s="44" t="n">
        <x:v>145000</x:v>
      </x:c>
      <x:c r="I25" s="40" t="n">
        <x:v>6.046355</x:v>
      </x:c>
      <x:c r="J25" s="25" t="str">
        <x:v>SYNTHETIC_ASSUMPTION</x:v>
      </x:c>
    </x:row>
    <x:row r="26">
      <x:c r="A26" s="39" t="n">
        <x:v>45658</x:v>
      </x:c>
      <x:c r="B26" s="25" t="str">
        <x:v>U.S. Consumer Marketing &amp; Acquisition</x:v>
      </x:c>
      <x:c r="C26" s="25" t="str">
        <x:v>Manager / Senior Manager</x:v>
      </x:c>
      <x:c r="D26" s="40" t="n">
        <x:v>336.66</x:v>
      </x:c>
      <x:c r="E26" s="40" t="n">
        <x:v>3.5340000000000003</x:v>
      </x:c>
      <x:c r="F26" s="40" t="n">
        <x:v>2.418</x:v>
      </x:c>
      <x:c r="G26" s="40" t="n">
        <x:v>337.77599999999995</x:v>
      </x:c>
      <x:c r="H26" s="44" t="n">
        <x:v>205000</x:v>
      </x:c>
      <x:c r="I26" s="40" t="n">
        <x:v>5.760807499999999</x:v>
      </x:c>
      <x:c r="J26" s="25" t="str">
        <x:v>SYNTHETIC_ASSUMPTION</x:v>
      </x:c>
    </x:row>
    <x:row r="27">
      <x:c r="A27" s="39" t="n">
        <x:v>45658</x:v>
      </x:c>
      <x:c r="B27" s="25" t="str">
        <x:v>U.S. Consumer Marketing &amp; Acquisition</x:v>
      </x:c>
      <x:c r="C27" s="25" t="str">
        <x:v>Director</x:v>
      </x:c>
      <x:c r="D27" s="40" t="n">
        <x:v>184.62</x:v>
      </x:c>
      <x:c r="E27" s="40" t="n">
        <x:v>1.9380000000000002</x:v>
      </x:c>
      <x:c r="F27" s="40" t="n">
        <x:v>1.326</x:v>
      </x:c>
      <x:c r="G27" s="40" t="n">
        <x:v>185.232</x:v>
      </x:c>
      <x:c r="H27" s="44" t="n">
        <x:v>285000</x:v>
      </x:c>
      <x:c r="I27" s="40" t="n">
        <x:v>4.391992500000001</x:v>
      </x:c>
      <x:c r="J27" s="25" t="str">
        <x:v>SYNTHETIC_ASSUMPTION</x:v>
      </x:c>
    </x:row>
    <x:row r="28">
      <x:c r="A28" s="39" t="n">
        <x:v>45658</x:v>
      </x:c>
      <x:c r="B28" s="25" t="str">
        <x:v>U.S. Consumer Marketing &amp; Acquisition</x:v>
      </x:c>
      <x:c r="C28" s="25" t="str">
        <x:v>VP+</x:v>
      </x:c>
      <x:c r="D28" s="40" t="n">
        <x:v>65.16</x:v>
      </x:c>
      <x:c r="E28" s="40" t="n">
        <x:v>0.6839999999999999</x:v>
      </x:c>
      <x:c r="F28" s="40" t="n">
        <x:v>0.46799999999999997</x:v>
      </x:c>
      <x:c r="G28" s="40" t="n">
        <x:v>65.37599999999999</x:v>
      </x:c>
      <x:c r="H28" s="44" t="n">
        <x:v>430000</x:v>
      </x:c>
      <x:c r="I28" s="40" t="n">
        <x:v>2.33877</x:v>
      </x:c>
      <x:c r="J28" s="25" t="str">
        <x:v>SYNTHETIC_ASSUMPTION</x:v>
      </x:c>
    </x:row>
    <x:row r="29">
      <x:c r="A29" s="39" t="n">
        <x:v>45658</x:v>
      </x:c>
      <x:c r="B29" s="25" t="str">
        <x:v>Product, Data &amp; Technology</x:v>
      </x:c>
      <x:c r="C29" s="25" t="str">
        <x:v>Analyst / Associate</x:v>
      </x:c>
      <x:c r="D29" s="40" t="n">
        <x:v>749.34</x:v>
      </x:c>
      <x:c r="E29" s="40" t="n">
        <x:v>7.866</x:v>
      </x:c>
      <x:c r="F29" s="40" t="n">
        <x:v>5.382</x:v>
      </x:c>
      <x:c r="G29" s="40" t="n">
        <x:v>751.824</x:v>
      </x:c>
      <x:c r="H29" s="44" t="n">
        <x:v>145000</x:v>
      </x:c>
      <x:c r="I29" s="40" t="n">
        <x:v>9.069532500000001</x:v>
      </x:c>
      <x:c r="J29" s="25" t="str">
        <x:v>SYNTHETIC_ASSUMPTION</x:v>
      </x:c>
    </x:row>
    <x:row r="30">
      <x:c r="A30" s="39" t="n">
        <x:v>45658</x:v>
      </x:c>
      <x:c r="B30" s="25" t="str">
        <x:v>Product, Data &amp; Technology</x:v>
      </x:c>
      <x:c r="C30" s="25" t="str">
        <x:v>Manager / Senior Manager</x:v>
      </x:c>
      <x:c r="D30" s="40" t="n">
        <x:v>504.99</x:v>
      </x:c>
      <x:c r="E30" s="40" t="n">
        <x:v>5.300999999999999</x:v>
      </x:c>
      <x:c r="F30" s="40" t="n">
        <x:v>3.627</x:v>
      </x:c>
      <x:c r="G30" s="40" t="n">
        <x:v>506.66399999999993</x:v>
      </x:c>
      <x:c r="H30" s="44" t="n">
        <x:v>205000</x:v>
      </x:c>
      <x:c r="I30" s="40" t="n">
        <x:v>8.64121125</x:v>
      </x:c>
      <x:c r="J30" s="25" t="str">
        <x:v>SYNTHETIC_ASSUMPTION</x:v>
      </x:c>
    </x:row>
    <x:row r="31">
      <x:c r="A31" s="39" t="n">
        <x:v>45658</x:v>
      </x:c>
      <x:c r="B31" s="25" t="str">
        <x:v>Product, Data &amp; Technology</x:v>
      </x:c>
      <x:c r="C31" s="25" t="str">
        <x:v>Director</x:v>
      </x:c>
      <x:c r="D31" s="40" t="n">
        <x:v>276.93</x:v>
      </x:c>
      <x:c r="E31" s="40" t="n">
        <x:v>2.907</x:v>
      </x:c>
      <x:c r="F31" s="40" t="n">
        <x:v>1.989</x:v>
      </x:c>
      <x:c r="G31" s="40" t="n">
        <x:v>277.848</x:v>
      </x:c>
      <x:c r="H31" s="44" t="n">
        <x:v>285000</x:v>
      </x:c>
      <x:c r="I31" s="40" t="n">
        <x:v>6.58798875</x:v>
      </x:c>
      <x:c r="J31" s="25" t="str">
        <x:v>SYNTHETIC_ASSUMPTION</x:v>
      </x:c>
    </x:row>
    <x:row r="32">
      <x:c r="A32" s="39" t="n">
        <x:v>45658</x:v>
      </x:c>
      <x:c r="B32" s="25" t="str">
        <x:v>Product, Data &amp; Technology</x:v>
      </x:c>
      <x:c r="C32" s="25" t="str">
        <x:v>VP+</x:v>
      </x:c>
      <x:c r="D32" s="40" t="n">
        <x:v>97.74</x:v>
      </x:c>
      <x:c r="E32" s="40" t="n">
        <x:v>1.0259999999999998</x:v>
      </x:c>
      <x:c r="F32" s="40" t="n">
        <x:v>0.702</x:v>
      </x:c>
      <x:c r="G32" s="40" t="n">
        <x:v>98.064</x:v>
      </x:c>
      <x:c r="H32" s="44" t="n">
        <x:v>430000</x:v>
      </x:c>
      <x:c r="I32" s="40" t="n">
        <x:v>3.508155</x:v>
      </x:c>
      <x:c r="J32" s="25" t="str">
        <x:v>SYNTHETIC_ASSUMPTION</x:v>
      </x:c>
    </x:row>
    <x:row r="33">
      <x:c r="A33" s="39" t="n">
        <x:v>45658</x:v>
      </x:c>
      <x:c r="B33" s="25" t="str">
        <x:v>Servicing, Operations &amp; Business Support</x:v>
      </x:c>
      <x:c r="C33" s="25" t="str">
        <x:v>Analyst / Associate</x:v>
      </x:c>
      <x:c r="D33" s="40" t="n">
        <x:v>666.08</x:v>
      </x:c>
      <x:c r="E33" s="40" t="n">
        <x:v>6.992000000000001</x:v>
      </x:c>
      <x:c r="F33" s="40" t="n">
        <x:v>4.784000000000001</x:v>
      </x:c>
      <x:c r="G33" s="40" t="n">
        <x:v>668.288</x:v>
      </x:c>
      <x:c r="H33" s="44" t="n">
        <x:v>145000</x:v>
      </x:c>
      <x:c r="I33" s="40" t="n">
        <x:v>8.061806666666667</x:v>
      </x:c>
      <x:c r="J33" s="25" t="str">
        <x:v>SYNTHETIC_ASSUMPTION</x:v>
      </x:c>
    </x:row>
    <x:row r="34">
      <x:c r="A34" s="39" t="n">
        <x:v>45658</x:v>
      </x:c>
      <x:c r="B34" s="25" t="str">
        <x:v>Servicing, Operations &amp; Business Support</x:v>
      </x:c>
      <x:c r="C34" s="25" t="str">
        <x:v>Manager / Senior Manager</x:v>
      </x:c>
      <x:c r="D34" s="40" t="n">
        <x:v>448.88</x:v>
      </x:c>
      <x:c r="E34" s="40" t="n">
        <x:v>4.712000000000001</x:v>
      </x:c>
      <x:c r="F34" s="40" t="n">
        <x:v>3.224</x:v>
      </x:c>
      <x:c r="G34" s="40" t="n">
        <x:v>450.368</x:v>
      </x:c>
      <x:c r="H34" s="44" t="n">
        <x:v>205000</x:v>
      </x:c>
      <x:c r="I34" s="40" t="n">
        <x:v>7.681076666666667</x:v>
      </x:c>
      <x:c r="J34" s="25" t="str">
        <x:v>SYNTHETIC_ASSUMPTION</x:v>
      </x:c>
    </x:row>
    <x:row r="35">
      <x:c r="A35" s="39" t="n">
        <x:v>45658</x:v>
      </x:c>
      <x:c r="B35" s="25" t="str">
        <x:v>Servicing, Operations &amp; Business Support</x:v>
      </x:c>
      <x:c r="C35" s="25" t="str">
        <x:v>Director</x:v>
      </x:c>
      <x:c r="D35" s="40" t="n">
        <x:v>246.16000000000003</x:v>
      </x:c>
      <x:c r="E35" s="40" t="n">
        <x:v>2.5840000000000005</x:v>
      </x:c>
      <x:c r="F35" s="40" t="n">
        <x:v>1.7680000000000002</x:v>
      </x:c>
      <x:c r="G35" s="40" t="n">
        <x:v>246.976</x:v>
      </x:c>
      <x:c r="H35" s="44" t="n">
        <x:v>285000</x:v>
      </x:c>
      <x:c r="I35" s="40" t="n">
        <x:v>5.855990000000001</x:v>
      </x:c>
      <x:c r="J35" s="25" t="str">
        <x:v>SYNTHETIC_ASSUMPTION</x:v>
      </x:c>
    </x:row>
    <x:row r="36">
      <x:c r="A36" s="39" t="n">
        <x:v>45658</x:v>
      </x:c>
      <x:c r="B36" s="25" t="str">
        <x:v>Servicing, Operations &amp; Business Support</x:v>
      </x:c>
      <x:c r="C36" s="25" t="str">
        <x:v>VP+</x:v>
      </x:c>
      <x:c r="D36" s="40" t="n">
        <x:v>86.88</x:v>
      </x:c>
      <x:c r="E36" s="40" t="n">
        <x:v>0.912</x:v>
      </x:c>
      <x:c r="F36" s="40" t="n">
        <x:v>0.624</x:v>
      </x:c>
      <x:c r="G36" s="40" t="n">
        <x:v>87.16799999999999</x:v>
      </x:c>
      <x:c r="H36" s="44" t="n">
        <x:v>430000</x:v>
      </x:c>
      <x:c r="I36" s="40" t="n">
        <x:v>3.11836</x:v>
      </x:c>
      <x:c r="J36" s="25" t="str">
        <x:v>SYNTHETIC_ASSUMPTION</x:v>
      </x:c>
    </x:row>
    <x:row r="37">
      <x:c r="A37" s="39" t="n">
        <x:v>45689</x:v>
      </x:c>
      <x:c r="B37" s="25" t="str">
        <x:v>Consumer Card Products &amp; Portfolio</x:v>
      </x:c>
      <x:c r="C37" s="25" t="str">
        <x:v>Analyst / Associate</x:v>
      </x:c>
      <x:c r="D37" s="40" t="n">
        <x:v>501.216</x:v>
      </x:c>
      <x:c r="E37" s="40" t="n">
        <x:v>4.416</x:v>
      </x:c>
      <x:c r="F37" s="40" t="n">
        <x:v>3.5328</x:v>
      </x:c>
      <x:c r="G37" s="40" t="n">
        <x:v>502.0992</x:v>
      </x:c>
      <x:c r="H37" s="44" t="n">
        <x:v>145000</x:v>
      </x:c>
      <x:c r="I37" s="40" t="n">
        <x:v>6.061696</x:v>
      </x:c>
      <x:c r="J37" s="25" t="str">
        <x:v>SYNTHETIC_ASSUMPTION</x:v>
      </x:c>
    </x:row>
    <x:row r="38">
      <x:c r="A38" s="39" t="n">
        <x:v>45689</x:v>
      </x:c>
      <x:c r="B38" s="25" t="str">
        <x:v>Consumer Card Products &amp; Portfolio</x:v>
      </x:c>
      <x:c r="C38" s="25" t="str">
        <x:v>Manager / Senior Manager</x:v>
      </x:c>
      <x:c r="D38" s="40" t="n">
        <x:v>337.77599999999995</x:v>
      </x:c>
      <x:c r="E38" s="40" t="n">
        <x:v>2.976</x:v>
      </x:c>
      <x:c r="F38" s="40" t="n">
        <x:v>2.3808</x:v>
      </x:c>
      <x:c r="G38" s="40" t="n">
        <x:v>338.3712</x:v>
      </x:c>
      <x:c r="H38" s="44" t="n">
        <x:v>205000</x:v>
      </x:c>
      <x:c r="I38" s="40" t="n">
        <x:v>5.775424</x:v>
      </x:c>
      <x:c r="J38" s="25" t="str">
        <x:v>SYNTHETIC_ASSUMPTION</x:v>
      </x:c>
    </x:row>
    <x:row r="39">
      <x:c r="A39" s="39" t="n">
        <x:v>45689</x:v>
      </x:c>
      <x:c r="B39" s="25" t="str">
        <x:v>Consumer Card Products &amp; Portfolio</x:v>
      </x:c>
      <x:c r="C39" s="25" t="str">
        <x:v>Director</x:v>
      </x:c>
      <x:c r="D39" s="40" t="n">
        <x:v>185.232</x:v>
      </x:c>
      <x:c r="E39" s="40" t="n">
        <x:v>1.6320000000000001</x:v>
      </x:c>
      <x:c r="F39" s="40" t="n">
        <x:v>1.3056</x:v>
      </x:c>
      <x:c r="G39" s="40" t="n">
        <x:v>185.5584</x:v>
      </x:c>
      <x:c r="H39" s="44" t="n">
        <x:v>285000</x:v>
      </x:c>
      <x:c r="I39" s="40" t="n">
        <x:v>4.403136000000001</x:v>
      </x:c>
      <x:c r="J39" s="25" t="str">
        <x:v>SYNTHETIC_ASSUMPTION</x:v>
      </x:c>
    </x:row>
    <x:row r="40">
      <x:c r="A40" s="39" t="n">
        <x:v>45689</x:v>
      </x:c>
      <x:c r="B40" s="25" t="str">
        <x:v>Consumer Card Products &amp; Portfolio</x:v>
      </x:c>
      <x:c r="C40" s="25" t="str">
        <x:v>VP+</x:v>
      </x:c>
      <x:c r="D40" s="40" t="n">
        <x:v>65.37599999999999</x:v>
      </x:c>
      <x:c r="E40" s="40" t="n">
        <x:v>0.576</x:v>
      </x:c>
      <x:c r="F40" s="40" t="n">
        <x:v>0.4608</x:v>
      </x:c>
      <x:c r="G40" s="40" t="n">
        <x:v>65.49119999999999</x:v>
      </x:c>
      <x:c r="H40" s="44" t="n">
        <x:v>430000</x:v>
      </x:c>
      <x:c r="I40" s="40" t="n">
        <x:v>2.344704</x:v>
      </x:c>
      <x:c r="J40" s="25" t="str">
        <x:v>SYNTHETIC_ASSUMPTION</x:v>
      </x:c>
    </x:row>
    <x:row r="41">
      <x:c r="A41" s="39" t="n">
        <x:v>45689</x:v>
      </x:c>
      <x:c r="B41" s="25" t="str">
        <x:v>Lending &amp; U.S. Consumer Banking</x:v>
      </x:c>
      <x:c r="C41" s="25" t="str">
        <x:v>Analyst / Associate</x:v>
      </x:c>
      <x:c r="D41" s="40" t="n">
        <x:v>501.216</x:v>
      </x:c>
      <x:c r="E41" s="40" t="n">
        <x:v>4.416</x:v>
      </x:c>
      <x:c r="F41" s="40" t="n">
        <x:v>3.5328</x:v>
      </x:c>
      <x:c r="G41" s="40" t="n">
        <x:v>502.0992</x:v>
      </x:c>
      <x:c r="H41" s="44" t="n">
        <x:v>145000</x:v>
      </x:c>
      <x:c r="I41" s="40" t="n">
        <x:v>6.061696</x:v>
      </x:c>
      <x:c r="J41" s="25" t="str">
        <x:v>SYNTHETIC_ASSUMPTION</x:v>
      </x:c>
    </x:row>
    <x:row r="42">
      <x:c r="A42" s="39" t="n">
        <x:v>45689</x:v>
      </x:c>
      <x:c r="B42" s="25" t="str">
        <x:v>Lending &amp; U.S. Consumer Banking</x:v>
      </x:c>
      <x:c r="C42" s="25" t="str">
        <x:v>Manager / Senior Manager</x:v>
      </x:c>
      <x:c r="D42" s="40" t="n">
        <x:v>337.77599999999995</x:v>
      </x:c>
      <x:c r="E42" s="40" t="n">
        <x:v>2.976</x:v>
      </x:c>
      <x:c r="F42" s="40" t="n">
        <x:v>2.3808</x:v>
      </x:c>
      <x:c r="G42" s="40" t="n">
        <x:v>338.3712</x:v>
      </x:c>
      <x:c r="H42" s="44" t="n">
        <x:v>205000</x:v>
      </x:c>
      <x:c r="I42" s="40" t="n">
        <x:v>5.775424</x:v>
      </x:c>
      <x:c r="J42" s="25" t="str">
        <x:v>SYNTHETIC_ASSUMPTION</x:v>
      </x:c>
    </x:row>
    <x:row r="43">
      <x:c r="A43" s="39" t="n">
        <x:v>45689</x:v>
      </x:c>
      <x:c r="B43" s="25" t="str">
        <x:v>Lending &amp; U.S. Consumer Banking</x:v>
      </x:c>
      <x:c r="C43" s="25" t="str">
        <x:v>Director</x:v>
      </x:c>
      <x:c r="D43" s="40" t="n">
        <x:v>185.232</x:v>
      </x:c>
      <x:c r="E43" s="40" t="n">
        <x:v>1.6320000000000001</x:v>
      </x:c>
      <x:c r="F43" s="40" t="n">
        <x:v>1.3056</x:v>
      </x:c>
      <x:c r="G43" s="40" t="n">
        <x:v>185.5584</x:v>
      </x:c>
      <x:c r="H43" s="44" t="n">
        <x:v>285000</x:v>
      </x:c>
      <x:c r="I43" s="40" t="n">
        <x:v>4.403136000000001</x:v>
      </x:c>
      <x:c r="J43" s="25" t="str">
        <x:v>SYNTHETIC_ASSUMPTION</x:v>
      </x:c>
    </x:row>
    <x:row r="44">
      <x:c r="A44" s="39" t="n">
        <x:v>45689</x:v>
      </x:c>
      <x:c r="B44" s="25" t="str">
        <x:v>Lending &amp; U.S. Consumer Banking</x:v>
      </x:c>
      <x:c r="C44" s="25" t="str">
        <x:v>VP+</x:v>
      </x:c>
      <x:c r="D44" s="40" t="n">
        <x:v>65.37599999999999</x:v>
      </x:c>
      <x:c r="E44" s="40" t="n">
        <x:v>0.576</x:v>
      </x:c>
      <x:c r="F44" s="40" t="n">
        <x:v>0.4608</x:v>
      </x:c>
      <x:c r="G44" s="40" t="n">
        <x:v>65.49119999999999</x:v>
      </x:c>
      <x:c r="H44" s="44" t="n">
        <x:v>430000</x:v>
      </x:c>
      <x:c r="I44" s="40" t="n">
        <x:v>2.344704</x:v>
      </x:c>
      <x:c r="J44" s="25" t="str">
        <x:v>SYNTHETIC_ASSUMPTION</x:v>
      </x:c>
    </x:row>
    <x:row r="45">
      <x:c r="A45" s="39" t="n">
        <x:v>45689</x:v>
      </x:c>
      <x:c r="B45" s="25" t="str">
        <x:v>Membership Rewards &amp; Card Member Benefits</x:v>
      </x:c>
      <x:c r="C45" s="25" t="str">
        <x:v>Analyst / Associate</x:v>
      </x:c>
      <x:c r="D45" s="40" t="n">
        <x:v>501.216</x:v>
      </x:c>
      <x:c r="E45" s="40" t="n">
        <x:v>4.416</x:v>
      </x:c>
      <x:c r="F45" s="40" t="n">
        <x:v>3.5328</x:v>
      </x:c>
      <x:c r="G45" s="40" t="n">
        <x:v>502.0992</x:v>
      </x:c>
      <x:c r="H45" s="44" t="n">
        <x:v>145000</x:v>
      </x:c>
      <x:c r="I45" s="40" t="n">
        <x:v>6.061696</x:v>
      </x:c>
      <x:c r="J45" s="25" t="str">
        <x:v>SYNTHETIC_ASSUMPTION</x:v>
      </x:c>
    </x:row>
    <x:row r="46">
      <x:c r="A46" s="39" t="n">
        <x:v>45689</x:v>
      </x:c>
      <x:c r="B46" s="25" t="str">
        <x:v>Membership Rewards &amp; Card Member Benefits</x:v>
      </x:c>
      <x:c r="C46" s="25" t="str">
        <x:v>Manager / Senior Manager</x:v>
      </x:c>
      <x:c r="D46" s="40" t="n">
        <x:v>337.77599999999995</x:v>
      </x:c>
      <x:c r="E46" s="40" t="n">
        <x:v>2.976</x:v>
      </x:c>
      <x:c r="F46" s="40" t="n">
        <x:v>2.3808</x:v>
      </x:c>
      <x:c r="G46" s="40" t="n">
        <x:v>338.3712</x:v>
      </x:c>
      <x:c r="H46" s="44" t="n">
        <x:v>205000</x:v>
      </x:c>
      <x:c r="I46" s="40" t="n">
        <x:v>5.775424</x:v>
      </x:c>
      <x:c r="J46" s="25" t="str">
        <x:v>SYNTHETIC_ASSUMPTION</x:v>
      </x:c>
    </x:row>
    <x:row r="47">
      <x:c r="A47" s="39" t="n">
        <x:v>45689</x:v>
      </x:c>
      <x:c r="B47" s="25" t="str">
        <x:v>Membership Rewards &amp; Card Member Benefits</x:v>
      </x:c>
      <x:c r="C47" s="25" t="str">
        <x:v>Director</x:v>
      </x:c>
      <x:c r="D47" s="40" t="n">
        <x:v>185.232</x:v>
      </x:c>
      <x:c r="E47" s="40" t="n">
        <x:v>1.6320000000000001</x:v>
      </x:c>
      <x:c r="F47" s="40" t="n">
        <x:v>1.3056</x:v>
      </x:c>
      <x:c r="G47" s="40" t="n">
        <x:v>185.5584</x:v>
      </x:c>
      <x:c r="H47" s="44" t="n">
        <x:v>285000</x:v>
      </x:c>
      <x:c r="I47" s="40" t="n">
        <x:v>4.403136000000001</x:v>
      </x:c>
      <x:c r="J47" s="25" t="str">
        <x:v>SYNTHETIC_ASSUMPTION</x:v>
      </x:c>
    </x:row>
    <x:row r="48">
      <x:c r="A48" s="39" t="n">
        <x:v>45689</x:v>
      </x:c>
      <x:c r="B48" s="25" t="str">
        <x:v>Membership Rewards &amp; Card Member Benefits</x:v>
      </x:c>
      <x:c r="C48" s="25" t="str">
        <x:v>VP+</x:v>
      </x:c>
      <x:c r="D48" s="40" t="n">
        <x:v>65.37599999999999</x:v>
      </x:c>
      <x:c r="E48" s="40" t="n">
        <x:v>0.576</x:v>
      </x:c>
      <x:c r="F48" s="40" t="n">
        <x:v>0.4608</x:v>
      </x:c>
      <x:c r="G48" s="40" t="n">
        <x:v>65.49119999999999</x:v>
      </x:c>
      <x:c r="H48" s="44" t="n">
        <x:v>430000</x:v>
      </x:c>
      <x:c r="I48" s="40" t="n">
        <x:v>2.344704</x:v>
      </x:c>
      <x:c r="J48" s="25" t="str">
        <x:v>SYNTHETIC_ASSUMPTION</x:v>
      </x:c>
    </x:row>
    <x:row r="49">
      <x:c r="A49" s="39" t="n">
        <x:v>45689</x:v>
      </x:c>
      <x:c r="B49" s="25" t="str">
        <x:v>Travel, Lifestyle, Dining &amp; Lounges</x:v>
      </x:c>
      <x:c r="C49" s="25" t="str">
        <x:v>Analyst / Associate</x:v>
      </x:c>
      <x:c r="D49" s="40" t="n">
        <x:v>334.144</x:v>
      </x:c>
      <x:c r="E49" s="40" t="n">
        <x:v>2.9440000000000004</x:v>
      </x:c>
      <x:c r="F49" s="40" t="n">
        <x:v>2.3552</x:v>
      </x:c>
      <x:c r="G49" s="40" t="n">
        <x:v>334.73280000000005</x:v>
      </x:c>
      <x:c r="H49" s="44" t="n">
        <x:v>145000</x:v>
      </x:c>
      <x:c r="I49" s="40" t="n">
        <x:v>4.041130666666667</x:v>
      </x:c>
      <x:c r="J49" s="25" t="str">
        <x:v>SYNTHETIC_ASSUMPTION</x:v>
      </x:c>
    </x:row>
    <x:row r="50">
      <x:c r="A50" s="39" t="n">
        <x:v>45689</x:v>
      </x:c>
      <x:c r="B50" s="25" t="str">
        <x:v>Travel, Lifestyle, Dining &amp; Lounges</x:v>
      </x:c>
      <x:c r="C50" s="25" t="str">
        <x:v>Manager / Senior Manager</x:v>
      </x:c>
      <x:c r="D50" s="40" t="n">
        <x:v>225.184</x:v>
      </x:c>
      <x:c r="E50" s="40" t="n">
        <x:v>1.984</x:v>
      </x:c>
      <x:c r="F50" s="40" t="n">
        <x:v>1.5872</x:v>
      </x:c>
      <x:c r="G50" s="40" t="n">
        <x:v>225.5808</x:v>
      </x:c>
      <x:c r="H50" s="44" t="n">
        <x:v>205000</x:v>
      </x:c>
      <x:c r="I50" s="40" t="n">
        <x:v>3.8502826666666663</x:v>
      </x:c>
      <x:c r="J50" s="25" t="str">
        <x:v>SYNTHETIC_ASSUMPTION</x:v>
      </x:c>
    </x:row>
    <x:row r="51">
      <x:c r="A51" s="39" t="n">
        <x:v>45689</x:v>
      </x:c>
      <x:c r="B51" s="25" t="str">
        <x:v>Travel, Lifestyle, Dining &amp; Lounges</x:v>
      </x:c>
      <x:c r="C51" s="25" t="str">
        <x:v>Director</x:v>
      </x:c>
      <x:c r="D51" s="40" t="n">
        <x:v>123.488</x:v>
      </x:c>
      <x:c r="E51" s="40" t="n">
        <x:v>1.088</x:v>
      </x:c>
      <x:c r="F51" s="40" t="n">
        <x:v>0.8704000000000001</x:v>
      </x:c>
      <x:c r="G51" s="40" t="n">
        <x:v>123.70560000000002</x:v>
      </x:c>
      <x:c r="H51" s="44" t="n">
        <x:v>285000</x:v>
      </x:c>
      <x:c r="I51" s="40" t="n">
        <x:v>2.935424</x:v>
      </x:c>
      <x:c r="J51" s="25" t="str">
        <x:v>SYNTHETIC_ASSUMPTION</x:v>
      </x:c>
    </x:row>
    <x:row r="52">
      <x:c r="A52" s="39" t="n">
        <x:v>45689</x:v>
      </x:c>
      <x:c r="B52" s="25" t="str">
        <x:v>Travel, Lifestyle, Dining &amp; Lounges</x:v>
      </x:c>
      <x:c r="C52" s="25" t="str">
        <x:v>VP+</x:v>
      </x:c>
      <x:c r="D52" s="40" t="n">
        <x:v>43.583999999999996</x:v>
      </x:c>
      <x:c r="E52" s="40" t="n">
        <x:v>0.384</x:v>
      </x:c>
      <x:c r="F52" s="40" t="n">
        <x:v>0.3072</x:v>
      </x:c>
      <x:c r="G52" s="40" t="n">
        <x:v>43.6608</x:v>
      </x:c>
      <x:c r="H52" s="44" t="n">
        <x:v>430000</x:v>
      </x:c>
      <x:c r="I52" s="40" t="n">
        <x:v>1.563136</x:v>
      </x:c>
      <x:c r="J52" s="25" t="str">
        <x:v>SYNTHETIC_ASSUMPTION</x:v>
      </x:c>
    </x:row>
    <x:row r="53">
      <x:c r="A53" s="39" t="n">
        <x:v>45689</x:v>
      </x:c>
      <x:c r="B53" s="25" t="str">
        <x:v>Cobrand Partnerships &amp; Business Development</x:v>
      </x:c>
      <x:c r="C53" s="25" t="str">
        <x:v>Analyst / Associate</x:v>
      </x:c>
      <x:c r="D53" s="40" t="n">
        <x:v>417.68</x:v>
      </x:c>
      <x:c r="E53" s="40" t="n">
        <x:v>3.68</x:v>
      </x:c>
      <x:c r="F53" s="40" t="n">
        <x:v>2.9440000000000004</x:v>
      </x:c>
      <x:c r="G53" s="40" t="n">
        <x:v>418.41600000000005</x:v>
      </x:c>
      <x:c r="H53" s="44" t="n">
        <x:v>145000</x:v>
      </x:c>
      <x:c r="I53" s="40" t="n">
        <x:v>5.0514133333333335</x:v>
      </x:c>
      <x:c r="J53" s="25" t="str">
        <x:v>SYNTHETIC_ASSUMPTION</x:v>
      </x:c>
    </x:row>
    <x:row r="54">
      <x:c r="A54" s="39" t="n">
        <x:v>45689</x:v>
      </x:c>
      <x:c r="B54" s="25" t="str">
        <x:v>Cobrand Partnerships &amp; Business Development</x:v>
      </x:c>
      <x:c r="C54" s="25" t="str">
        <x:v>Manager / Senior Manager</x:v>
      </x:c>
      <x:c r="D54" s="40" t="n">
        <x:v>281.48</x:v>
      </x:c>
      <x:c r="E54" s="40" t="n">
        <x:v>2.48</x:v>
      </x:c>
      <x:c r="F54" s="40" t="n">
        <x:v>1.984</x:v>
      </x:c>
      <x:c r="G54" s="40" t="n">
        <x:v>281.976</x:v>
      </x:c>
      <x:c r="H54" s="44" t="n">
        <x:v>205000</x:v>
      </x:c>
      <x:c r="I54" s="40" t="n">
        <x:v>4.812853333333333</x:v>
      </x:c>
      <x:c r="J54" s="25" t="str">
        <x:v>SYNTHETIC_ASSUMPTION</x:v>
      </x:c>
    </x:row>
    <x:row r="55">
      <x:c r="A55" s="39" t="n">
        <x:v>45689</x:v>
      </x:c>
      <x:c r="B55" s="25" t="str">
        <x:v>Cobrand Partnerships &amp; Business Development</x:v>
      </x:c>
      <x:c r="C55" s="25" t="str">
        <x:v>Director</x:v>
      </x:c>
      <x:c r="D55" s="40" t="n">
        <x:v>154.36</x:v>
      </x:c>
      <x:c r="E55" s="40" t="n">
        <x:v>1.36</x:v>
      </x:c>
      <x:c r="F55" s="40" t="n">
        <x:v>1.088</x:v>
      </x:c>
      <x:c r="G55" s="40" t="n">
        <x:v>154.632</x:v>
      </x:c>
      <x:c r="H55" s="44" t="n">
        <x:v>285000</x:v>
      </x:c>
      <x:c r="I55" s="40" t="n">
        <x:v>3.66928</x:v>
      </x:c>
      <x:c r="J55" s="25" t="str">
        <x:v>SYNTHETIC_ASSUMPTION</x:v>
      </x:c>
    </x:row>
    <x:row r="56">
      <x:c r="A56" s="39" t="n">
        <x:v>45689</x:v>
      </x:c>
      <x:c r="B56" s="25" t="str">
        <x:v>Cobrand Partnerships &amp; Business Development</x:v>
      </x:c>
      <x:c r="C56" s="25" t="str">
        <x:v>VP+</x:v>
      </x:c>
      <x:c r="D56" s="40" t="n">
        <x:v>54.48</x:v>
      </x:c>
      <x:c r="E56" s="40" t="n">
        <x:v>0.48</x:v>
      </x:c>
      <x:c r="F56" s="40" t="n">
        <x:v>0.384</x:v>
      </x:c>
      <x:c r="G56" s="40" t="n">
        <x:v>54.576</x:v>
      </x:c>
      <x:c r="H56" s="44" t="n">
        <x:v>430000</x:v>
      </x:c>
      <x:c r="I56" s="40" t="n">
        <x:v>1.95392</x:v>
      </x:c>
      <x:c r="J56" s="25" t="str">
        <x:v>SYNTHETIC_ASSUMPTION</x:v>
      </x:c>
    </x:row>
    <x:row r="57">
      <x:c r="A57" s="39" t="n">
        <x:v>45689</x:v>
      </x:c>
      <x:c r="B57" s="25" t="str">
        <x:v>U.S. Consumer Marketing &amp; Acquisition</x:v>
      </x:c>
      <x:c r="C57" s="25" t="str">
        <x:v>Analyst / Associate</x:v>
      </x:c>
      <x:c r="D57" s="40" t="n">
        <x:v>501.216</x:v>
      </x:c>
      <x:c r="E57" s="40" t="n">
        <x:v>4.416</x:v>
      </x:c>
      <x:c r="F57" s="40" t="n">
        <x:v>3.5328</x:v>
      </x:c>
      <x:c r="G57" s="40" t="n">
        <x:v>502.0992</x:v>
      </x:c>
      <x:c r="H57" s="44" t="n">
        <x:v>145000</x:v>
      </x:c>
      <x:c r="I57" s="40" t="n">
        <x:v>6.061696</x:v>
      </x:c>
      <x:c r="J57" s="25" t="str">
        <x:v>SYNTHETIC_ASSUMPTION</x:v>
      </x:c>
    </x:row>
    <x:row r="58">
      <x:c r="A58" s="39" t="n">
        <x:v>45689</x:v>
      </x:c>
      <x:c r="B58" s="25" t="str">
        <x:v>U.S. Consumer Marketing &amp; Acquisition</x:v>
      </x:c>
      <x:c r="C58" s="25" t="str">
        <x:v>Manager / Senior Manager</x:v>
      </x:c>
      <x:c r="D58" s="40" t="n">
        <x:v>337.77599999999995</x:v>
      </x:c>
      <x:c r="E58" s="40" t="n">
        <x:v>2.976</x:v>
      </x:c>
      <x:c r="F58" s="40" t="n">
        <x:v>2.3808</x:v>
      </x:c>
      <x:c r="G58" s="40" t="n">
        <x:v>338.3712</x:v>
      </x:c>
      <x:c r="H58" s="44" t="n">
        <x:v>205000</x:v>
      </x:c>
      <x:c r="I58" s="40" t="n">
        <x:v>5.775424</x:v>
      </x:c>
      <x:c r="J58" s="25" t="str">
        <x:v>SYNTHETIC_ASSUMPTION</x:v>
      </x:c>
    </x:row>
    <x:row r="59">
      <x:c r="A59" s="39" t="n">
        <x:v>45689</x:v>
      </x:c>
      <x:c r="B59" s="25" t="str">
        <x:v>U.S. Consumer Marketing &amp; Acquisition</x:v>
      </x:c>
      <x:c r="C59" s="25" t="str">
        <x:v>Director</x:v>
      </x:c>
      <x:c r="D59" s="40" t="n">
        <x:v>185.232</x:v>
      </x:c>
      <x:c r="E59" s="40" t="n">
        <x:v>1.6320000000000001</x:v>
      </x:c>
      <x:c r="F59" s="40" t="n">
        <x:v>1.3056</x:v>
      </x:c>
      <x:c r="G59" s="40" t="n">
        <x:v>185.5584</x:v>
      </x:c>
      <x:c r="H59" s="44" t="n">
        <x:v>285000</x:v>
      </x:c>
      <x:c r="I59" s="40" t="n">
        <x:v>4.403136000000001</x:v>
      </x:c>
      <x:c r="J59" s="25" t="str">
        <x:v>SYNTHETIC_ASSUMPTION</x:v>
      </x:c>
    </x:row>
    <x:row r="60">
      <x:c r="A60" s="39" t="n">
        <x:v>45689</x:v>
      </x:c>
      <x:c r="B60" s="25" t="str">
        <x:v>U.S. Consumer Marketing &amp; Acquisition</x:v>
      </x:c>
      <x:c r="C60" s="25" t="str">
        <x:v>VP+</x:v>
      </x:c>
      <x:c r="D60" s="40" t="n">
        <x:v>65.37599999999999</x:v>
      </x:c>
      <x:c r="E60" s="40" t="n">
        <x:v>0.576</x:v>
      </x:c>
      <x:c r="F60" s="40" t="n">
        <x:v>0.4608</x:v>
      </x:c>
      <x:c r="G60" s="40" t="n">
        <x:v>65.49119999999999</x:v>
      </x:c>
      <x:c r="H60" s="44" t="n">
        <x:v>430000</x:v>
      </x:c>
      <x:c r="I60" s="40" t="n">
        <x:v>2.344704</x:v>
      </x:c>
      <x:c r="J60" s="25" t="str">
        <x:v>SYNTHETIC_ASSUMPTION</x:v>
      </x:c>
    </x:row>
    <x:row r="61">
      <x:c r="A61" s="39" t="n">
        <x:v>45689</x:v>
      </x:c>
      <x:c r="B61" s="25" t="str">
        <x:v>Product, Data &amp; Technology</x:v>
      </x:c>
      <x:c r="C61" s="25" t="str">
        <x:v>Analyst / Associate</x:v>
      </x:c>
      <x:c r="D61" s="40" t="n">
        <x:v>751.824</x:v>
      </x:c>
      <x:c r="E61" s="40" t="n">
        <x:v>6.624</x:v>
      </x:c>
      <x:c r="F61" s="40" t="n">
        <x:v>5.2992</x:v>
      </x:c>
      <x:c r="G61" s="40" t="n">
        <x:v>753.1488</x:v>
      </x:c>
      <x:c r="H61" s="44" t="n">
        <x:v>145000</x:v>
      </x:c>
      <x:c r="I61" s="40" t="n">
        <x:v>9.092544</x:v>
      </x:c>
      <x:c r="J61" s="25" t="str">
        <x:v>SYNTHETIC_ASSUMPTION</x:v>
      </x:c>
    </x:row>
    <x:row r="62">
      <x:c r="A62" s="39" t="n">
        <x:v>45689</x:v>
      </x:c>
      <x:c r="B62" s="25" t="str">
        <x:v>Product, Data &amp; Technology</x:v>
      </x:c>
      <x:c r="C62" s="25" t="str">
        <x:v>Manager / Senior Manager</x:v>
      </x:c>
      <x:c r="D62" s="40" t="n">
        <x:v>506.66399999999993</x:v>
      </x:c>
      <x:c r="E62" s="40" t="n">
        <x:v>4.4639999999999995</x:v>
      </x:c>
      <x:c r="F62" s="40" t="n">
        <x:v>3.5711999999999997</x:v>
      </x:c>
      <x:c r="G62" s="40" t="n">
        <x:v>507.5568</x:v>
      </x:c>
      <x:c r="H62" s="44" t="n">
        <x:v>205000</x:v>
      </x:c>
      <x:c r="I62" s="40" t="n">
        <x:v>8.663136</x:v>
      </x:c>
      <x:c r="J62" s="25" t="str">
        <x:v>SYNTHETIC_ASSUMPTION</x:v>
      </x:c>
    </x:row>
    <x:row r="63">
      <x:c r="A63" s="39" t="n">
        <x:v>45689</x:v>
      </x:c>
      <x:c r="B63" s="25" t="str">
        <x:v>Product, Data &amp; Technology</x:v>
      </x:c>
      <x:c r="C63" s="25" t="str">
        <x:v>Director</x:v>
      </x:c>
      <x:c r="D63" s="40" t="n">
        <x:v>277.848</x:v>
      </x:c>
      <x:c r="E63" s="40" t="n">
        <x:v>2.448</x:v>
      </x:c>
      <x:c r="F63" s="40" t="n">
        <x:v>1.9584000000000001</x:v>
      </x:c>
      <x:c r="G63" s="40" t="n">
        <x:v>278.3376</x:v>
      </x:c>
      <x:c r="H63" s="44" t="n">
        <x:v>285000</x:v>
      </x:c>
      <x:c r="I63" s="40" t="n">
        <x:v>6.604704</x:v>
      </x:c>
      <x:c r="J63" s="25" t="str">
        <x:v>SYNTHETIC_ASSUMPTION</x:v>
      </x:c>
    </x:row>
    <x:row r="64">
      <x:c r="A64" s="39" t="n">
        <x:v>45689</x:v>
      </x:c>
      <x:c r="B64" s="25" t="str">
        <x:v>Product, Data &amp; Technology</x:v>
      </x:c>
      <x:c r="C64" s="25" t="str">
        <x:v>VP+</x:v>
      </x:c>
      <x:c r="D64" s="40" t="n">
        <x:v>98.064</x:v>
      </x:c>
      <x:c r="E64" s="40" t="n">
        <x:v>0.8639999999999999</x:v>
      </x:c>
      <x:c r="F64" s="40" t="n">
        <x:v>0.6911999999999999</x:v>
      </x:c>
      <x:c r="G64" s="40" t="n">
        <x:v>98.23679999999999</x:v>
      </x:c>
      <x:c r="H64" s="44" t="n">
        <x:v>430000</x:v>
      </x:c>
      <x:c r="I64" s="40" t="n">
        <x:v>3.5170559999999997</x:v>
      </x:c>
      <x:c r="J64" s="25" t="str">
        <x:v>SYNTHETIC_ASSUMPTION</x:v>
      </x:c>
    </x:row>
    <x:row r="65">
      <x:c r="A65" s="39" t="n">
        <x:v>45689</x:v>
      </x:c>
      <x:c r="B65" s="25" t="str">
        <x:v>Servicing, Operations &amp; Business Support</x:v>
      </x:c>
      <x:c r="C65" s="25" t="str">
        <x:v>Analyst / Associate</x:v>
      </x:c>
      <x:c r="D65" s="40" t="n">
        <x:v>668.288</x:v>
      </x:c>
      <x:c r="E65" s="40" t="n">
        <x:v>5.888000000000001</x:v>
      </x:c>
      <x:c r="F65" s="40" t="n">
        <x:v>4.7104</x:v>
      </x:c>
      <x:c r="G65" s="40" t="n">
        <x:v>669.4656000000001</x:v>
      </x:c>
      <x:c r="H65" s="44" t="n">
        <x:v>145000</x:v>
      </x:c>
      <x:c r="I65" s="40" t="n">
        <x:v>8.082261333333333</x:v>
      </x:c>
      <x:c r="J65" s="25" t="str">
        <x:v>SYNTHETIC_ASSUMPTION</x:v>
      </x:c>
    </x:row>
    <x:row r="66">
      <x:c r="A66" s="39" t="n">
        <x:v>45689</x:v>
      </x:c>
      <x:c r="B66" s="25" t="str">
        <x:v>Servicing, Operations &amp; Business Support</x:v>
      </x:c>
      <x:c r="C66" s="25" t="str">
        <x:v>Manager / Senior Manager</x:v>
      </x:c>
      <x:c r="D66" s="40" t="n">
        <x:v>450.368</x:v>
      </x:c>
      <x:c r="E66" s="40" t="n">
        <x:v>3.968</x:v>
      </x:c>
      <x:c r="F66" s="40" t="n">
        <x:v>3.1744</x:v>
      </x:c>
      <x:c r="G66" s="40" t="n">
        <x:v>451.1616</x:v>
      </x:c>
      <x:c r="H66" s="44" t="n">
        <x:v>205000</x:v>
      </x:c>
      <x:c r="I66" s="40" t="n">
        <x:v>7.700565333333333</x:v>
      </x:c>
      <x:c r="J66" s="25" t="str">
        <x:v>SYNTHETIC_ASSUMPTION</x:v>
      </x:c>
    </x:row>
    <x:row r="67">
      <x:c r="A67" s="39" t="n">
        <x:v>45689</x:v>
      </x:c>
      <x:c r="B67" s="25" t="str">
        <x:v>Servicing, Operations &amp; Business Support</x:v>
      </x:c>
      <x:c r="C67" s="25" t="str">
        <x:v>Director</x:v>
      </x:c>
      <x:c r="D67" s="40" t="n">
        <x:v>246.976</x:v>
      </x:c>
      <x:c r="E67" s="40" t="n">
        <x:v>2.176</x:v>
      </x:c>
      <x:c r="F67" s="40" t="n">
        <x:v>1.7408000000000001</x:v>
      </x:c>
      <x:c r="G67" s="40" t="n">
        <x:v>247.41120000000004</x:v>
      </x:c>
      <x:c r="H67" s="44" t="n">
        <x:v>285000</x:v>
      </x:c>
      <x:c r="I67" s="40" t="n">
        <x:v>5.870848</x:v>
      </x:c>
      <x:c r="J67" s="25" t="str">
        <x:v>SYNTHETIC_ASSUMPTION</x:v>
      </x:c>
    </x:row>
    <x:row r="68">
      <x:c r="A68" s="39" t="n">
        <x:v>45689</x:v>
      </x:c>
      <x:c r="B68" s="25" t="str">
        <x:v>Servicing, Operations &amp; Business Support</x:v>
      </x:c>
      <x:c r="C68" s="25" t="str">
        <x:v>VP+</x:v>
      </x:c>
      <x:c r="D68" s="40" t="n">
        <x:v>87.16799999999999</x:v>
      </x:c>
      <x:c r="E68" s="40" t="n">
        <x:v>0.768</x:v>
      </x:c>
      <x:c r="F68" s="40" t="n">
        <x:v>0.6144</x:v>
      </x:c>
      <x:c r="G68" s="40" t="n">
        <x:v>87.3216</x:v>
      </x:c>
      <x:c r="H68" s="44" t="n">
        <x:v>430000</x:v>
      </x:c>
      <x:c r="I68" s="40" t="n">
        <x:v>3.126272</x:v>
      </x:c>
      <x:c r="J68" s="25" t="str">
        <x:v>SYNTHETIC_ASSUMPTION</x:v>
      </x:c>
    </x:row>
    <x:row r="69">
      <x:c r="A69" s="39" t="n">
        <x:v>45717</x:v>
      </x:c>
      <x:c r="B69" s="25" t="str">
        <x:v>Consumer Card Products &amp; Portfolio</x:v>
      </x:c>
      <x:c r="C69" s="25" t="str">
        <x:v>Analyst / Associate</x:v>
      </x:c>
      <x:c r="D69" s="40" t="n">
        <x:v>502.0992</x:v>
      </x:c>
      <x:c r="E69" s="40" t="n">
        <x:v>4.692</x:v>
      </x:c>
      <x:c r="F69" s="40" t="n">
        <x:v>3.6432</x:v>
      </x:c>
      <x:c r="G69" s="40" t="n">
        <x:v>503.148</x:v>
      </x:c>
      <x:c r="H69" s="44" t="n">
        <x:v>145000</x:v>
      </x:c>
      <x:c r="I69" s="40" t="n">
        <x:v>6.0733685</x:v>
      </x:c>
      <x:c r="J69" s="25" t="str">
        <x:v>SYNTHETIC_ASSUMPTION</x:v>
      </x:c>
    </x:row>
    <x:row r="70">
      <x:c r="A70" s="39" t="n">
        <x:v>45717</x:v>
      </x:c>
      <x:c r="B70" s="25" t="str">
        <x:v>Consumer Card Products &amp; Portfolio</x:v>
      </x:c>
      <x:c r="C70" s="25" t="str">
        <x:v>Manager / Senior Manager</x:v>
      </x:c>
      <x:c r="D70" s="40" t="n">
        <x:v>338.3712</x:v>
      </x:c>
      <x:c r="E70" s="40" t="n">
        <x:v>3.162</x:v>
      </x:c>
      <x:c r="F70" s="40" t="n">
        <x:v>2.4552</x:v>
      </x:c>
      <x:c r="G70" s="40" t="n">
        <x:v>339.078</x:v>
      </x:c>
      <x:c r="H70" s="44" t="n">
        <x:v>205000</x:v>
      </x:c>
      <x:c r="I70" s="40" t="n">
        <x:v>5.786545249999999</x:v>
      </x:c>
      <x:c r="J70" s="25" t="str">
        <x:v>SYNTHETIC_ASSUMPTION</x:v>
      </x:c>
    </x:row>
    <x:row r="71">
      <x:c r="A71" s="39" t="n">
        <x:v>45717</x:v>
      </x:c>
      <x:c r="B71" s="25" t="str">
        <x:v>Consumer Card Products &amp; Portfolio</x:v>
      </x:c>
      <x:c r="C71" s="25" t="str">
        <x:v>Director</x:v>
      </x:c>
      <x:c r="D71" s="40" t="n">
        <x:v>185.5584</x:v>
      </x:c>
      <x:c r="E71" s="40" t="n">
        <x:v>1.734</x:v>
      </x:c>
      <x:c r="F71" s="40" t="n">
        <x:v>1.3464</x:v>
      </x:c>
      <x:c r="G71" s="40" t="n">
        <x:v>185.946</x:v>
      </x:c>
      <x:c r="H71" s="44" t="n">
        <x:v>285000</x:v>
      </x:c>
      <x:c r="I71" s="40" t="n">
        <x:v>4.41161475</x:v>
      </x:c>
      <x:c r="J71" s="25" t="str">
        <x:v>SYNTHETIC_ASSUMPTION</x:v>
      </x:c>
    </x:row>
    <x:row r="72">
      <x:c r="A72" s="39" t="n">
        <x:v>45717</x:v>
      </x:c>
      <x:c r="B72" s="25" t="str">
        <x:v>Consumer Card Products &amp; Portfolio</x:v>
      </x:c>
      <x:c r="C72" s="25" t="str">
        <x:v>VP+</x:v>
      </x:c>
      <x:c r="D72" s="40" t="n">
        <x:v>65.49119999999999</x:v>
      </x:c>
      <x:c r="E72" s="40" t="n">
        <x:v>0.612</x:v>
      </x:c>
      <x:c r="F72" s="40" t="n">
        <x:v>0.47519999999999996</x:v>
      </x:c>
      <x:c r="G72" s="40" t="n">
        <x:v>65.628</x:v>
      </x:c>
      <x:c r="H72" s="44" t="n">
        <x:v>430000</x:v>
      </x:c>
      <x:c r="I72" s="40" t="n">
        <x:v>2.3492189999999997</x:v>
      </x:c>
      <x:c r="J72" s="25" t="str">
        <x:v>SYNTHETIC_ASSUMPTION</x:v>
      </x:c>
    </x:row>
    <x:row r="73">
      <x:c r="A73" s="39" t="n">
        <x:v>45717</x:v>
      </x:c>
      <x:c r="B73" s="25" t="str">
        <x:v>Lending &amp; U.S. Consumer Banking</x:v>
      </x:c>
      <x:c r="C73" s="25" t="str">
        <x:v>Analyst / Associate</x:v>
      </x:c>
      <x:c r="D73" s="40" t="n">
        <x:v>502.0992</x:v>
      </x:c>
      <x:c r="E73" s="40" t="n">
        <x:v>4.692</x:v>
      </x:c>
      <x:c r="F73" s="40" t="n">
        <x:v>3.6432</x:v>
      </x:c>
      <x:c r="G73" s="40" t="n">
        <x:v>503.148</x:v>
      </x:c>
      <x:c r="H73" s="44" t="n">
        <x:v>145000</x:v>
      </x:c>
      <x:c r="I73" s="40" t="n">
        <x:v>6.0733685</x:v>
      </x:c>
      <x:c r="J73" s="25" t="str">
        <x:v>SYNTHETIC_ASSUMPTION</x:v>
      </x:c>
    </x:row>
    <x:row r="74">
      <x:c r="A74" s="39" t="n">
        <x:v>45717</x:v>
      </x:c>
      <x:c r="B74" s="25" t="str">
        <x:v>Lending &amp; U.S. Consumer Banking</x:v>
      </x:c>
      <x:c r="C74" s="25" t="str">
        <x:v>Manager / Senior Manager</x:v>
      </x:c>
      <x:c r="D74" s="40" t="n">
        <x:v>338.3712</x:v>
      </x:c>
      <x:c r="E74" s="40" t="n">
        <x:v>3.162</x:v>
      </x:c>
      <x:c r="F74" s="40" t="n">
        <x:v>2.4552</x:v>
      </x:c>
      <x:c r="G74" s="40" t="n">
        <x:v>339.078</x:v>
      </x:c>
      <x:c r="H74" s="44" t="n">
        <x:v>205000</x:v>
      </x:c>
      <x:c r="I74" s="40" t="n">
        <x:v>5.786545249999999</x:v>
      </x:c>
      <x:c r="J74" s="25" t="str">
        <x:v>SYNTHETIC_ASSUMPTION</x:v>
      </x:c>
    </x:row>
    <x:row r="75">
      <x:c r="A75" s="39" t="n">
        <x:v>45717</x:v>
      </x:c>
      <x:c r="B75" s="25" t="str">
        <x:v>Lending &amp; U.S. Consumer Banking</x:v>
      </x:c>
      <x:c r="C75" s="25" t="str">
        <x:v>Director</x:v>
      </x:c>
      <x:c r="D75" s="40" t="n">
        <x:v>185.5584</x:v>
      </x:c>
      <x:c r="E75" s="40" t="n">
        <x:v>1.734</x:v>
      </x:c>
      <x:c r="F75" s="40" t="n">
        <x:v>1.3464</x:v>
      </x:c>
      <x:c r="G75" s="40" t="n">
        <x:v>185.946</x:v>
      </x:c>
      <x:c r="H75" s="44" t="n">
        <x:v>285000</x:v>
      </x:c>
      <x:c r="I75" s="40" t="n">
        <x:v>4.41161475</x:v>
      </x:c>
      <x:c r="J75" s="25" t="str">
        <x:v>SYNTHETIC_ASSUMPTION</x:v>
      </x:c>
    </x:row>
    <x:row r="76">
      <x:c r="A76" s="39" t="n">
        <x:v>45717</x:v>
      </x:c>
      <x:c r="B76" s="25" t="str">
        <x:v>Lending &amp; U.S. Consumer Banking</x:v>
      </x:c>
      <x:c r="C76" s="25" t="str">
        <x:v>VP+</x:v>
      </x:c>
      <x:c r="D76" s="40" t="n">
        <x:v>65.49119999999999</x:v>
      </x:c>
      <x:c r="E76" s="40" t="n">
        <x:v>0.612</x:v>
      </x:c>
      <x:c r="F76" s="40" t="n">
        <x:v>0.47519999999999996</x:v>
      </x:c>
      <x:c r="G76" s="40" t="n">
        <x:v>65.628</x:v>
      </x:c>
      <x:c r="H76" s="44" t="n">
        <x:v>430000</x:v>
      </x:c>
      <x:c r="I76" s="40" t="n">
        <x:v>2.3492189999999997</x:v>
      </x:c>
      <x:c r="J76" s="25" t="str">
        <x:v>SYNTHETIC_ASSUMPTION</x:v>
      </x:c>
    </x:row>
    <x:row r="77">
      <x:c r="A77" s="39" t="n">
        <x:v>45717</x:v>
      </x:c>
      <x:c r="B77" s="25" t="str">
        <x:v>Membership Rewards &amp; Card Member Benefits</x:v>
      </x:c>
      <x:c r="C77" s="25" t="str">
        <x:v>Analyst / Associate</x:v>
      </x:c>
      <x:c r="D77" s="40" t="n">
        <x:v>502.0992</x:v>
      </x:c>
      <x:c r="E77" s="40" t="n">
        <x:v>4.692</x:v>
      </x:c>
      <x:c r="F77" s="40" t="n">
        <x:v>3.6432</x:v>
      </x:c>
      <x:c r="G77" s="40" t="n">
        <x:v>503.148</x:v>
      </x:c>
      <x:c r="H77" s="44" t="n">
        <x:v>145000</x:v>
      </x:c>
      <x:c r="I77" s="40" t="n">
        <x:v>6.0733685</x:v>
      </x:c>
      <x:c r="J77" s="25" t="str">
        <x:v>SYNTHETIC_ASSUMPTION</x:v>
      </x:c>
    </x:row>
    <x:row r="78">
      <x:c r="A78" s="39" t="n">
        <x:v>45717</x:v>
      </x:c>
      <x:c r="B78" s="25" t="str">
        <x:v>Membership Rewards &amp; Card Member Benefits</x:v>
      </x:c>
      <x:c r="C78" s="25" t="str">
        <x:v>Manager / Senior Manager</x:v>
      </x:c>
      <x:c r="D78" s="40" t="n">
        <x:v>338.3712</x:v>
      </x:c>
      <x:c r="E78" s="40" t="n">
        <x:v>3.162</x:v>
      </x:c>
      <x:c r="F78" s="40" t="n">
        <x:v>2.4552</x:v>
      </x:c>
      <x:c r="G78" s="40" t="n">
        <x:v>339.078</x:v>
      </x:c>
      <x:c r="H78" s="44" t="n">
        <x:v>205000</x:v>
      </x:c>
      <x:c r="I78" s="40" t="n">
        <x:v>5.786545249999999</x:v>
      </x:c>
      <x:c r="J78" s="25" t="str">
        <x:v>SYNTHETIC_ASSUMPTION</x:v>
      </x:c>
    </x:row>
    <x:row r="79">
      <x:c r="A79" s="39" t="n">
        <x:v>45717</x:v>
      </x:c>
      <x:c r="B79" s="25" t="str">
        <x:v>Membership Rewards &amp; Card Member Benefits</x:v>
      </x:c>
      <x:c r="C79" s="25" t="str">
        <x:v>Director</x:v>
      </x:c>
      <x:c r="D79" s="40" t="n">
        <x:v>185.5584</x:v>
      </x:c>
      <x:c r="E79" s="40" t="n">
        <x:v>1.734</x:v>
      </x:c>
      <x:c r="F79" s="40" t="n">
        <x:v>1.3464</x:v>
      </x:c>
      <x:c r="G79" s="40" t="n">
        <x:v>185.946</x:v>
      </x:c>
      <x:c r="H79" s="44" t="n">
        <x:v>285000</x:v>
      </x:c>
      <x:c r="I79" s="40" t="n">
        <x:v>4.41161475</x:v>
      </x:c>
      <x:c r="J79" s="25" t="str">
        <x:v>SYNTHETIC_ASSUMPTION</x:v>
      </x:c>
    </x:row>
    <x:row r="80">
      <x:c r="A80" s="39" t="n">
        <x:v>45717</x:v>
      </x:c>
      <x:c r="B80" s="25" t="str">
        <x:v>Membership Rewards &amp; Card Member Benefits</x:v>
      </x:c>
      <x:c r="C80" s="25" t="str">
        <x:v>VP+</x:v>
      </x:c>
      <x:c r="D80" s="40" t="n">
        <x:v>65.49119999999999</x:v>
      </x:c>
      <x:c r="E80" s="40" t="n">
        <x:v>0.612</x:v>
      </x:c>
      <x:c r="F80" s="40" t="n">
        <x:v>0.47519999999999996</x:v>
      </x:c>
      <x:c r="G80" s="40" t="n">
        <x:v>65.628</x:v>
      </x:c>
      <x:c r="H80" s="44" t="n">
        <x:v>430000</x:v>
      </x:c>
      <x:c r="I80" s="40" t="n">
        <x:v>2.3492189999999997</x:v>
      </x:c>
      <x:c r="J80" s="25" t="str">
        <x:v>SYNTHETIC_ASSUMPTION</x:v>
      </x:c>
    </x:row>
    <x:row r="81">
      <x:c r="A81" s="39" t="n">
        <x:v>45717</x:v>
      </x:c>
      <x:c r="B81" s="25" t="str">
        <x:v>Travel, Lifestyle, Dining &amp; Lounges</x:v>
      </x:c>
      <x:c r="C81" s="25" t="str">
        <x:v>Analyst / Associate</x:v>
      </x:c>
      <x:c r="D81" s="40" t="n">
        <x:v>334.73280000000005</x:v>
      </x:c>
      <x:c r="E81" s="40" t="n">
        <x:v>3.128</x:v>
      </x:c>
      <x:c r="F81" s="40" t="n">
        <x:v>2.4288000000000003</x:v>
      </x:c>
      <x:c r="G81" s="40" t="n">
        <x:v>335.432</x:v>
      </x:c>
      <x:c r="H81" s="44" t="n">
        <x:v>145000</x:v>
      </x:c>
      <x:c r="I81" s="40" t="n">
        <x:v>4.048912333333334</x:v>
      </x:c>
      <x:c r="J81" s="25" t="str">
        <x:v>SYNTHETIC_ASSUMPTION</x:v>
      </x:c>
    </x:row>
    <x:row r="82">
      <x:c r="A82" s="39" t="n">
        <x:v>45717</x:v>
      </x:c>
      <x:c r="B82" s="25" t="str">
        <x:v>Travel, Lifestyle, Dining &amp; Lounges</x:v>
      </x:c>
      <x:c r="C82" s="25" t="str">
        <x:v>Manager / Senior Manager</x:v>
      </x:c>
      <x:c r="D82" s="40" t="n">
        <x:v>225.5808</x:v>
      </x:c>
      <x:c r="E82" s="40" t="n">
        <x:v>2.108</x:v>
      </x:c>
      <x:c r="F82" s="40" t="n">
        <x:v>1.6368</x:v>
      </x:c>
      <x:c r="G82" s="40" t="n">
        <x:v>226.05200000000002</x:v>
      </x:c>
      <x:c r="H82" s="44" t="n">
        <x:v>205000</x:v>
      </x:c>
      <x:c r="I82" s="40" t="n">
        <x:v>3.8576968333333337</x:v>
      </x:c>
      <x:c r="J82" s="25" t="str">
        <x:v>SYNTHETIC_ASSUMPTION</x:v>
      </x:c>
    </x:row>
    <x:row r="83">
      <x:c r="A83" s="39" t="n">
        <x:v>45717</x:v>
      </x:c>
      <x:c r="B83" s="25" t="str">
        <x:v>Travel, Lifestyle, Dining &amp; Lounges</x:v>
      </x:c>
      <x:c r="C83" s="25" t="str">
        <x:v>Director</x:v>
      </x:c>
      <x:c r="D83" s="40" t="n">
        <x:v>123.70560000000002</x:v>
      </x:c>
      <x:c r="E83" s="40" t="n">
        <x:v>1.1560000000000001</x:v>
      </x:c>
      <x:c r="F83" s="40" t="n">
        <x:v>0.8976000000000001</x:v>
      </x:c>
      <x:c r="G83" s="40" t="n">
        <x:v>123.96400000000001</x:v>
      </x:c>
      <x:c r="H83" s="44" t="n">
        <x:v>285000</x:v>
      </x:c>
      <x:c r="I83" s="40" t="n">
        <x:v>2.9410765000000003</x:v>
      </x:c>
      <x:c r="J83" s="25" t="str">
        <x:v>SYNTHETIC_ASSUMPTION</x:v>
      </x:c>
    </x:row>
    <x:row r="84">
      <x:c r="A84" s="39" t="n">
        <x:v>45717</x:v>
      </x:c>
      <x:c r="B84" s="25" t="str">
        <x:v>Travel, Lifestyle, Dining &amp; Lounges</x:v>
      </x:c>
      <x:c r="C84" s="25" t="str">
        <x:v>VP+</x:v>
      </x:c>
      <x:c r="D84" s="40" t="n">
        <x:v>43.6608</x:v>
      </x:c>
      <x:c r="E84" s="40" t="n">
        <x:v>0.408</x:v>
      </x:c>
      <x:c r="F84" s="40" t="n">
        <x:v>0.3168</x:v>
      </x:c>
      <x:c r="G84" s="40" t="n">
        <x:v>43.752</x:v>
      </x:c>
      <x:c r="H84" s="44" t="n">
        <x:v>430000</x:v>
      </x:c>
      <x:c r="I84" s="40" t="n">
        <x:v>1.566146</x:v>
      </x:c>
      <x:c r="J84" s="25" t="str">
        <x:v>SYNTHETIC_ASSUMPTION</x:v>
      </x:c>
    </x:row>
    <x:row r="85">
      <x:c r="A85" s="39" t="n">
        <x:v>45717</x:v>
      </x:c>
      <x:c r="B85" s="25" t="str">
        <x:v>Cobrand Partnerships &amp; Business Development</x:v>
      </x:c>
      <x:c r="C85" s="25" t="str">
        <x:v>Analyst / Associate</x:v>
      </x:c>
      <x:c r="D85" s="40" t="n">
        <x:v>418.41600000000005</x:v>
      </x:c>
      <x:c r="E85" s="40" t="n">
        <x:v>3.91</x:v>
      </x:c>
      <x:c r="F85" s="40" t="n">
        <x:v>3.0360000000000005</x:v>
      </x:c>
      <x:c r="G85" s="40" t="n">
        <x:v>419.29</x:v>
      </x:c>
      <x:c r="H85" s="44" t="n">
        <x:v>145000</x:v>
      </x:c>
      <x:c r="I85" s="40" t="n">
        <x:v>5.061140416666667</x:v>
      </x:c>
      <x:c r="J85" s="25" t="str">
        <x:v>SYNTHETIC_ASSUMPTION</x:v>
      </x:c>
    </x:row>
    <x:row r="86">
      <x:c r="A86" s="39" t="n">
        <x:v>45717</x:v>
      </x:c>
      <x:c r="B86" s="25" t="str">
        <x:v>Cobrand Partnerships &amp; Business Development</x:v>
      </x:c>
      <x:c r="C86" s="25" t="str">
        <x:v>Manager / Senior Manager</x:v>
      </x:c>
      <x:c r="D86" s="40" t="n">
        <x:v>281.976</x:v>
      </x:c>
      <x:c r="E86" s="40" t="n">
        <x:v>2.635</x:v>
      </x:c>
      <x:c r="F86" s="40" t="n">
        <x:v>2.0460000000000003</x:v>
      </x:c>
      <x:c r="G86" s="40" t="n">
        <x:v>282.565</x:v>
      </x:c>
      <x:c r="H86" s="44" t="n">
        <x:v>205000</x:v>
      </x:c>
      <x:c r="I86" s="40" t="n">
        <x:v>4.822121041666667</x:v>
      </x:c>
      <x:c r="J86" s="25" t="str">
        <x:v>SYNTHETIC_ASSUMPTION</x:v>
      </x:c>
    </x:row>
    <x:row r="87">
      <x:c r="A87" s="39" t="n">
        <x:v>45717</x:v>
      </x:c>
      <x:c r="B87" s="25" t="str">
        <x:v>Cobrand Partnerships &amp; Business Development</x:v>
      </x:c>
      <x:c r="C87" s="25" t="str">
        <x:v>Director</x:v>
      </x:c>
      <x:c r="D87" s="40" t="n">
        <x:v>154.632</x:v>
      </x:c>
      <x:c r="E87" s="40" t="n">
        <x:v>1.445</x:v>
      </x:c>
      <x:c r="F87" s="40" t="n">
        <x:v>1.122</x:v>
      </x:c>
      <x:c r="G87" s="40" t="n">
        <x:v>154.955</x:v>
      </x:c>
      <x:c r="H87" s="44" t="n">
        <x:v>285000</x:v>
      </x:c>
      <x:c r="I87" s="40" t="n">
        <x:v>3.6763456250000006</x:v>
      </x:c>
      <x:c r="J87" s="25" t="str">
        <x:v>SYNTHETIC_ASSUMPTION</x:v>
      </x:c>
    </x:row>
    <x:row r="88">
      <x:c r="A88" s="39" t="n">
        <x:v>45717</x:v>
      </x:c>
      <x:c r="B88" s="25" t="str">
        <x:v>Cobrand Partnerships &amp; Business Development</x:v>
      </x:c>
      <x:c r="C88" s="25" t="str">
        <x:v>VP+</x:v>
      </x:c>
      <x:c r="D88" s="40" t="n">
        <x:v>54.576</x:v>
      </x:c>
      <x:c r="E88" s="40" t="n">
        <x:v>0.51</x:v>
      </x:c>
      <x:c r="F88" s="40" t="n">
        <x:v>0.396</x:v>
      </x:c>
      <x:c r="G88" s="40" t="n">
        <x:v>54.69</x:v>
      </x:c>
      <x:c r="H88" s="44" t="n">
        <x:v>430000</x:v>
      </x:c>
      <x:c r="I88" s="40" t="n">
        <x:v>1.9576825</x:v>
      </x:c>
      <x:c r="J88" s="25" t="str">
        <x:v>SYNTHETIC_ASSUMPTION</x:v>
      </x:c>
    </x:row>
    <x:row r="89">
      <x:c r="A89" s="39" t="n">
        <x:v>45717</x:v>
      </x:c>
      <x:c r="B89" s="25" t="str">
        <x:v>U.S. Consumer Marketing &amp; Acquisition</x:v>
      </x:c>
      <x:c r="C89" s="25" t="str">
        <x:v>Analyst / Associate</x:v>
      </x:c>
      <x:c r="D89" s="40" t="n">
        <x:v>502.0992</x:v>
      </x:c>
      <x:c r="E89" s="40" t="n">
        <x:v>4.692</x:v>
      </x:c>
      <x:c r="F89" s="40" t="n">
        <x:v>3.6432</x:v>
      </x:c>
      <x:c r="G89" s="40" t="n">
        <x:v>503.148</x:v>
      </x:c>
      <x:c r="H89" s="44" t="n">
        <x:v>145000</x:v>
      </x:c>
      <x:c r="I89" s="40" t="n">
        <x:v>6.0733685</x:v>
      </x:c>
      <x:c r="J89" s="25" t="str">
        <x:v>SYNTHETIC_ASSUMPTION</x:v>
      </x:c>
    </x:row>
    <x:row r="90">
      <x:c r="A90" s="39" t="n">
        <x:v>45717</x:v>
      </x:c>
      <x:c r="B90" s="25" t="str">
        <x:v>U.S. Consumer Marketing &amp; Acquisition</x:v>
      </x:c>
      <x:c r="C90" s="25" t="str">
        <x:v>Manager / Senior Manager</x:v>
      </x:c>
      <x:c r="D90" s="40" t="n">
        <x:v>338.3712</x:v>
      </x:c>
      <x:c r="E90" s="40" t="n">
        <x:v>3.162</x:v>
      </x:c>
      <x:c r="F90" s="40" t="n">
        <x:v>2.4552</x:v>
      </x:c>
      <x:c r="G90" s="40" t="n">
        <x:v>339.078</x:v>
      </x:c>
      <x:c r="H90" s="44" t="n">
        <x:v>205000</x:v>
      </x:c>
      <x:c r="I90" s="40" t="n">
        <x:v>5.786545249999999</x:v>
      </x:c>
      <x:c r="J90" s="25" t="str">
        <x:v>SYNTHETIC_ASSUMPTION</x:v>
      </x:c>
    </x:row>
    <x:row r="91">
      <x:c r="A91" s="39" t="n">
        <x:v>45717</x:v>
      </x:c>
      <x:c r="B91" s="25" t="str">
        <x:v>U.S. Consumer Marketing &amp; Acquisition</x:v>
      </x:c>
      <x:c r="C91" s="25" t="str">
        <x:v>Director</x:v>
      </x:c>
      <x:c r="D91" s="40" t="n">
        <x:v>185.5584</x:v>
      </x:c>
      <x:c r="E91" s="40" t="n">
        <x:v>1.734</x:v>
      </x:c>
      <x:c r="F91" s="40" t="n">
        <x:v>1.3464</x:v>
      </x:c>
      <x:c r="G91" s="40" t="n">
        <x:v>185.946</x:v>
      </x:c>
      <x:c r="H91" s="44" t="n">
        <x:v>285000</x:v>
      </x:c>
      <x:c r="I91" s="40" t="n">
        <x:v>4.41161475</x:v>
      </x:c>
      <x:c r="J91" s="25" t="str">
        <x:v>SYNTHETIC_ASSUMPTION</x:v>
      </x:c>
    </x:row>
    <x:row r="92">
      <x:c r="A92" s="39" t="n">
        <x:v>45717</x:v>
      </x:c>
      <x:c r="B92" s="25" t="str">
        <x:v>U.S. Consumer Marketing &amp; Acquisition</x:v>
      </x:c>
      <x:c r="C92" s="25" t="str">
        <x:v>VP+</x:v>
      </x:c>
      <x:c r="D92" s="40" t="n">
        <x:v>65.49119999999999</x:v>
      </x:c>
      <x:c r="E92" s="40" t="n">
        <x:v>0.612</x:v>
      </x:c>
      <x:c r="F92" s="40" t="n">
        <x:v>0.47519999999999996</x:v>
      </x:c>
      <x:c r="G92" s="40" t="n">
        <x:v>65.628</x:v>
      </x:c>
      <x:c r="H92" s="44" t="n">
        <x:v>430000</x:v>
      </x:c>
      <x:c r="I92" s="40" t="n">
        <x:v>2.3492189999999997</x:v>
      </x:c>
      <x:c r="J92" s="25" t="str">
        <x:v>SYNTHETIC_ASSUMPTION</x:v>
      </x:c>
    </x:row>
    <x:row r="93">
      <x:c r="A93" s="39" t="n">
        <x:v>45717</x:v>
      </x:c>
      <x:c r="B93" s="25" t="str">
        <x:v>Product, Data &amp; Technology</x:v>
      </x:c>
      <x:c r="C93" s="25" t="str">
        <x:v>Analyst / Associate</x:v>
      </x:c>
      <x:c r="D93" s="40" t="n">
        <x:v>753.1488</x:v>
      </x:c>
      <x:c r="E93" s="40" t="n">
        <x:v>7.038</x:v>
      </x:c>
      <x:c r="F93" s="40" t="n">
        <x:v>5.464799999999999</x:v>
      </x:c>
      <x:c r="G93" s="40" t="n">
        <x:v>754.7220000000001</x:v>
      </x:c>
      <x:c r="H93" s="44" t="n">
        <x:v>145000</x:v>
      </x:c>
      <x:c r="I93" s="40" t="n">
        <x:v>9.110052750000001</x:v>
      </x:c>
      <x:c r="J93" s="25" t="str">
        <x:v>SYNTHETIC_ASSUMPTION</x:v>
      </x:c>
    </x:row>
    <x:row r="94">
      <x:c r="A94" s="39" t="n">
        <x:v>45717</x:v>
      </x:c>
      <x:c r="B94" s="25" t="str">
        <x:v>Product, Data &amp; Technology</x:v>
      </x:c>
      <x:c r="C94" s="25" t="str">
        <x:v>Manager / Senior Manager</x:v>
      </x:c>
      <x:c r="D94" s="40" t="n">
        <x:v>507.5568</x:v>
      </x:c>
      <x:c r="E94" s="40" t="n">
        <x:v>4.742999999999999</x:v>
      </x:c>
      <x:c r="F94" s="40" t="n">
        <x:v>3.6828</x:v>
      </x:c>
      <x:c r="G94" s="40" t="n">
        <x:v>508.617</x:v>
      </x:c>
      <x:c r="H94" s="44" t="n">
        <x:v>205000</x:v>
      </x:c>
      <x:c r="I94" s="40" t="n">
        <x:v>8.679817875</x:v>
      </x:c>
      <x:c r="J94" s="25" t="str">
        <x:v>SYNTHETIC_ASSUMPTION</x:v>
      </x:c>
    </x:row>
    <x:row r="95">
      <x:c r="A95" s="39" t="n">
        <x:v>45717</x:v>
      </x:c>
      <x:c r="B95" s="25" t="str">
        <x:v>Product, Data &amp; Technology</x:v>
      </x:c>
      <x:c r="C95" s="25" t="str">
        <x:v>Director</x:v>
      </x:c>
      <x:c r="D95" s="40" t="n">
        <x:v>278.3376</x:v>
      </x:c>
      <x:c r="E95" s="40" t="n">
        <x:v>2.601</x:v>
      </x:c>
      <x:c r="F95" s="40" t="n">
        <x:v>2.0196</x:v>
      </x:c>
      <x:c r="G95" s="40" t="n">
        <x:v>278.91900000000004</x:v>
      </x:c>
      <x:c r="H95" s="44" t="n">
        <x:v>285000</x:v>
      </x:c>
      <x:c r="I95" s="40" t="n">
        <x:v>6.617422125</x:v>
      </x:c>
      <x:c r="J95" s="25" t="str">
        <x:v>SYNTHETIC_ASSUMPTION</x:v>
      </x:c>
    </x:row>
    <x:row r="96">
      <x:c r="A96" s="39" t="n">
        <x:v>45717</x:v>
      </x:c>
      <x:c r="B96" s="25" t="str">
        <x:v>Product, Data &amp; Technology</x:v>
      </x:c>
      <x:c r="C96" s="25" t="str">
        <x:v>VP+</x:v>
      </x:c>
      <x:c r="D96" s="40" t="n">
        <x:v>98.23679999999999</x:v>
      </x:c>
      <x:c r="E96" s="40" t="n">
        <x:v>0.9179999999999999</x:v>
      </x:c>
      <x:c r="F96" s="40" t="n">
        <x:v>0.7127999999999999</x:v>
      </x:c>
      <x:c r="G96" s="40" t="n">
        <x:v>98.442</x:v>
      </x:c>
      <x:c r="H96" s="44" t="n">
        <x:v>430000</x:v>
      </x:c>
      <x:c r="I96" s="40" t="n">
        <x:v>3.5238285</x:v>
      </x:c>
      <x:c r="J96" s="25" t="str">
        <x:v>SYNTHETIC_ASSUMPTION</x:v>
      </x:c>
    </x:row>
    <x:row r="97">
      <x:c r="A97" s="39" t="n">
        <x:v>45717</x:v>
      </x:c>
      <x:c r="B97" s="25" t="str">
        <x:v>Servicing, Operations &amp; Business Support</x:v>
      </x:c>
      <x:c r="C97" s="25" t="str">
        <x:v>Analyst / Associate</x:v>
      </x:c>
      <x:c r="D97" s="40" t="n">
        <x:v>669.4656000000001</x:v>
      </x:c>
      <x:c r="E97" s="40" t="n">
        <x:v>6.256</x:v>
      </x:c>
      <x:c r="F97" s="40" t="n">
        <x:v>4.857600000000001</x:v>
      </x:c>
      <x:c r="G97" s="40" t="n">
        <x:v>670.864</x:v>
      </x:c>
      <x:c r="H97" s="44" t="n">
        <x:v>145000</x:v>
      </x:c>
      <x:c r="I97" s="40" t="n">
        <x:v>8.097824666666668</x:v>
      </x:c>
      <x:c r="J97" s="25" t="str">
        <x:v>SYNTHETIC_ASSUMPTION</x:v>
      </x:c>
    </x:row>
    <x:row r="98">
      <x:c r="A98" s="39" t="n">
        <x:v>45717</x:v>
      </x:c>
      <x:c r="B98" s="25" t="str">
        <x:v>Servicing, Operations &amp; Business Support</x:v>
      </x:c>
      <x:c r="C98" s="25" t="str">
        <x:v>Manager / Senior Manager</x:v>
      </x:c>
      <x:c r="D98" s="40" t="n">
        <x:v>451.1616</x:v>
      </x:c>
      <x:c r="E98" s="40" t="n">
        <x:v>4.216</x:v>
      </x:c>
      <x:c r="F98" s="40" t="n">
        <x:v>3.2736</x:v>
      </x:c>
      <x:c r="G98" s="40" t="n">
        <x:v>452.10400000000004</x:v>
      </x:c>
      <x:c r="H98" s="44" t="n">
        <x:v>205000</x:v>
      </x:c>
      <x:c r="I98" s="40" t="n">
        <x:v>7.715393666666667</x:v>
      </x:c>
      <x:c r="J98" s="25" t="str">
        <x:v>SYNTHETIC_ASSUMPTION</x:v>
      </x:c>
    </x:row>
    <x:row r="99">
      <x:c r="A99" s="39" t="n">
        <x:v>45717</x:v>
      </x:c>
      <x:c r="B99" s="25" t="str">
        <x:v>Servicing, Operations &amp; Business Support</x:v>
      </x:c>
      <x:c r="C99" s="25" t="str">
        <x:v>Director</x:v>
      </x:c>
      <x:c r="D99" s="40" t="n">
        <x:v>247.41120000000004</x:v>
      </x:c>
      <x:c r="E99" s="40" t="n">
        <x:v>2.3120000000000003</x:v>
      </x:c>
      <x:c r="F99" s="40" t="n">
        <x:v>1.7952000000000001</x:v>
      </x:c>
      <x:c r="G99" s="40" t="n">
        <x:v>247.92800000000003</x:v>
      </x:c>
      <x:c r="H99" s="44" t="n">
        <x:v>285000</x:v>
      </x:c>
      <x:c r="I99" s="40" t="n">
        <x:v>5.882153000000001</x:v>
      </x:c>
      <x:c r="J99" s="25" t="str">
        <x:v>SYNTHETIC_ASSUMPTION</x:v>
      </x:c>
    </x:row>
    <x:row r="100">
      <x:c r="A100" s="39" t="n">
        <x:v>45717</x:v>
      </x:c>
      <x:c r="B100" s="25" t="str">
        <x:v>Servicing, Operations &amp; Business Support</x:v>
      </x:c>
      <x:c r="C100" s="25" t="str">
        <x:v>VP+</x:v>
      </x:c>
      <x:c r="D100" s="40" t="n">
        <x:v>87.3216</x:v>
      </x:c>
      <x:c r="E100" s="40" t="n">
        <x:v>0.816</x:v>
      </x:c>
      <x:c r="F100" s="40" t="n">
        <x:v>0.6336</x:v>
      </x:c>
      <x:c r="G100" s="40" t="n">
        <x:v>87.504</x:v>
      </x:c>
      <x:c r="H100" s="44" t="n">
        <x:v>430000</x:v>
      </x:c>
      <x:c r="I100" s="40" t="n">
        <x:v>3.132292</x:v>
      </x:c>
      <x:c r="J100" s="25" t="str">
        <x:v>SYNTHETIC_ASSUMPTION</x:v>
      </x:c>
    </x:row>
    <x:row r="101">
      <x:c r="A101" s="39" t="n">
        <x:v>45748</x:v>
      </x:c>
      <x:c r="B101" s="25" t="str">
        <x:v>Consumer Card Products &amp; Portfolio</x:v>
      </x:c>
      <x:c r="C101" s="25" t="str">
        <x:v>Analyst / Associate</x:v>
      </x:c>
      <x:c r="D101" s="40" t="n">
        <x:v>503.148</x:v>
      </x:c>
      <x:c r="E101" s="40" t="n">
        <x:v>4.968</x:v>
      </x:c>
      <x:c r="F101" s="40" t="n">
        <x:v>3.7536</x:v>
      </x:c>
      <x:c r="G101" s="40" t="n">
        <x:v>504.36240000000004</x:v>
      </x:c>
      <x:c r="H101" s="44" t="n">
        <x:v>145000</x:v>
      </x:c>
      <x:c r="I101" s="40" t="n">
        <x:v>6.087041999999999</x:v>
      </x:c>
      <x:c r="J101" s="25" t="str">
        <x:v>SYNTHETIC_ASSUMPTION</x:v>
      </x:c>
    </x:row>
    <x:row r="102">
      <x:c r="A102" s="39" t="n">
        <x:v>45748</x:v>
      </x:c>
      <x:c r="B102" s="25" t="str">
        <x:v>Consumer Card Products &amp; Portfolio</x:v>
      </x:c>
      <x:c r="C102" s="25" t="str">
        <x:v>Manager / Senior Manager</x:v>
      </x:c>
      <x:c r="D102" s="40" t="n">
        <x:v>339.078</x:v>
      </x:c>
      <x:c r="E102" s="40" t="n">
        <x:v>3.348</x:v>
      </x:c>
      <x:c r="F102" s="40" t="n">
        <x:v>2.5296</x:v>
      </x:c>
      <x:c r="G102" s="40" t="n">
        <x:v>339.8964</x:v>
      </x:c>
      <x:c r="H102" s="44" t="n">
        <x:v>205000</x:v>
      </x:c>
      <x:c r="I102" s="40" t="n">
        <x:v>5.799573</x:v>
      </x:c>
      <x:c r="J102" s="25" t="str">
        <x:v>SYNTHETIC_ASSUMPTION</x:v>
      </x:c>
    </x:row>
    <x:row r="103">
      <x:c r="A103" s="39" t="n">
        <x:v>45748</x:v>
      </x:c>
      <x:c r="B103" s="25" t="str">
        <x:v>Consumer Card Products &amp; Portfolio</x:v>
      </x:c>
      <x:c r="C103" s="25" t="str">
        <x:v>Director</x:v>
      </x:c>
      <x:c r="D103" s="40" t="n">
        <x:v>185.946</x:v>
      </x:c>
      <x:c r="E103" s="40" t="n">
        <x:v>1.8359999999999999</x:v>
      </x:c>
      <x:c r="F103" s="40" t="n">
        <x:v>1.3872000000000002</x:v>
      </x:c>
      <x:c r="G103" s="40" t="n">
        <x:v>186.39480000000003</x:v>
      </x:c>
      <x:c r="H103" s="44" t="n">
        <x:v>285000</x:v>
      </x:c>
      <x:c r="I103" s="40" t="n">
        <x:v>4.421547</x:v>
      </x:c>
      <x:c r="J103" s="25" t="str">
        <x:v>SYNTHETIC_ASSUMPTION</x:v>
      </x:c>
    </x:row>
    <x:row r="104">
      <x:c r="A104" s="39" t="n">
        <x:v>45748</x:v>
      </x:c>
      <x:c r="B104" s="25" t="str">
        <x:v>Consumer Card Products &amp; Portfolio</x:v>
      </x:c>
      <x:c r="C104" s="25" t="str">
        <x:v>VP+</x:v>
      </x:c>
      <x:c r="D104" s="40" t="n">
        <x:v>65.628</x:v>
      </x:c>
      <x:c r="E104" s="40" t="n">
        <x:v>0.6479999999999999</x:v>
      </x:c>
      <x:c r="F104" s="40" t="n">
        <x:v>0.4896</x:v>
      </x:c>
      <x:c r="G104" s="40" t="n">
        <x:v>65.7864</x:v>
      </x:c>
      <x:c r="H104" s="44" t="n">
        <x:v>430000</x:v>
      </x:c>
      <x:c r="I104" s="40" t="n">
        <x:v>2.3545079999999996</x:v>
      </x:c>
      <x:c r="J104" s="25" t="str">
        <x:v>SYNTHETIC_ASSUMPTION</x:v>
      </x:c>
    </x:row>
    <x:row r="105">
      <x:c r="A105" s="39" t="n">
        <x:v>45748</x:v>
      </x:c>
      <x:c r="B105" s="25" t="str">
        <x:v>Lending &amp; U.S. Consumer Banking</x:v>
      </x:c>
      <x:c r="C105" s="25" t="str">
        <x:v>Analyst / Associate</x:v>
      </x:c>
      <x:c r="D105" s="40" t="n">
        <x:v>503.148</x:v>
      </x:c>
      <x:c r="E105" s="40" t="n">
        <x:v>4.968</x:v>
      </x:c>
      <x:c r="F105" s="40" t="n">
        <x:v>3.7536</x:v>
      </x:c>
      <x:c r="G105" s="40" t="n">
        <x:v>504.36240000000004</x:v>
      </x:c>
      <x:c r="H105" s="44" t="n">
        <x:v>145000</x:v>
      </x:c>
      <x:c r="I105" s="40" t="n">
        <x:v>6.087041999999999</x:v>
      </x:c>
      <x:c r="J105" s="25" t="str">
        <x:v>SYNTHETIC_ASSUMPTION</x:v>
      </x:c>
    </x:row>
    <x:row r="106">
      <x:c r="A106" s="39" t="n">
        <x:v>45748</x:v>
      </x:c>
      <x:c r="B106" s="25" t="str">
        <x:v>Lending &amp; U.S. Consumer Banking</x:v>
      </x:c>
      <x:c r="C106" s="25" t="str">
        <x:v>Manager / Senior Manager</x:v>
      </x:c>
      <x:c r="D106" s="40" t="n">
        <x:v>339.078</x:v>
      </x:c>
      <x:c r="E106" s="40" t="n">
        <x:v>3.348</x:v>
      </x:c>
      <x:c r="F106" s="40" t="n">
        <x:v>2.5296</x:v>
      </x:c>
      <x:c r="G106" s="40" t="n">
        <x:v>339.8964</x:v>
      </x:c>
      <x:c r="H106" s="44" t="n">
        <x:v>205000</x:v>
      </x:c>
      <x:c r="I106" s="40" t="n">
        <x:v>5.799573</x:v>
      </x:c>
      <x:c r="J106" s="25" t="str">
        <x:v>SYNTHETIC_ASSUMPTION</x:v>
      </x:c>
    </x:row>
    <x:row r="107">
      <x:c r="A107" s="39" t="n">
        <x:v>45748</x:v>
      </x:c>
      <x:c r="B107" s="25" t="str">
        <x:v>Lending &amp; U.S. Consumer Banking</x:v>
      </x:c>
      <x:c r="C107" s="25" t="str">
        <x:v>Director</x:v>
      </x:c>
      <x:c r="D107" s="40" t="n">
        <x:v>185.946</x:v>
      </x:c>
      <x:c r="E107" s="40" t="n">
        <x:v>1.8359999999999999</x:v>
      </x:c>
      <x:c r="F107" s="40" t="n">
        <x:v>1.3872000000000002</x:v>
      </x:c>
      <x:c r="G107" s="40" t="n">
        <x:v>186.39480000000003</x:v>
      </x:c>
      <x:c r="H107" s="44" t="n">
        <x:v>285000</x:v>
      </x:c>
      <x:c r="I107" s="40" t="n">
        <x:v>4.421547</x:v>
      </x:c>
      <x:c r="J107" s="25" t="str">
        <x:v>SYNTHETIC_ASSUMPTION</x:v>
      </x:c>
    </x:row>
    <x:row r="108">
      <x:c r="A108" s="39" t="n">
        <x:v>45748</x:v>
      </x:c>
      <x:c r="B108" s="25" t="str">
        <x:v>Lending &amp; U.S. Consumer Banking</x:v>
      </x:c>
      <x:c r="C108" s="25" t="str">
        <x:v>VP+</x:v>
      </x:c>
      <x:c r="D108" s="40" t="n">
        <x:v>65.628</x:v>
      </x:c>
      <x:c r="E108" s="40" t="n">
        <x:v>0.6479999999999999</x:v>
      </x:c>
      <x:c r="F108" s="40" t="n">
        <x:v>0.4896</x:v>
      </x:c>
      <x:c r="G108" s="40" t="n">
        <x:v>65.7864</x:v>
      </x:c>
      <x:c r="H108" s="44" t="n">
        <x:v>430000</x:v>
      </x:c>
      <x:c r="I108" s="40" t="n">
        <x:v>2.3545079999999996</x:v>
      </x:c>
      <x:c r="J108" s="25" t="str">
        <x:v>SYNTHETIC_ASSUMPTION</x:v>
      </x:c>
    </x:row>
    <x:row r="109">
      <x:c r="A109" s="39" t="n">
        <x:v>45748</x:v>
      </x:c>
      <x:c r="B109" s="25" t="str">
        <x:v>Membership Rewards &amp; Card Member Benefits</x:v>
      </x:c>
      <x:c r="C109" s="25" t="str">
        <x:v>Analyst / Associate</x:v>
      </x:c>
      <x:c r="D109" s="40" t="n">
        <x:v>503.148</x:v>
      </x:c>
      <x:c r="E109" s="40" t="n">
        <x:v>4.968</x:v>
      </x:c>
      <x:c r="F109" s="40" t="n">
        <x:v>3.7536</x:v>
      </x:c>
      <x:c r="G109" s="40" t="n">
        <x:v>504.36240000000004</x:v>
      </x:c>
      <x:c r="H109" s="44" t="n">
        <x:v>145000</x:v>
      </x:c>
      <x:c r="I109" s="40" t="n">
        <x:v>6.087041999999999</x:v>
      </x:c>
      <x:c r="J109" s="25" t="str">
        <x:v>SYNTHETIC_ASSUMPTION</x:v>
      </x:c>
    </x:row>
    <x:row r="110">
      <x:c r="A110" s="39" t="n">
        <x:v>45748</x:v>
      </x:c>
      <x:c r="B110" s="25" t="str">
        <x:v>Membership Rewards &amp; Card Member Benefits</x:v>
      </x:c>
      <x:c r="C110" s="25" t="str">
        <x:v>Manager / Senior Manager</x:v>
      </x:c>
      <x:c r="D110" s="40" t="n">
        <x:v>339.078</x:v>
      </x:c>
      <x:c r="E110" s="40" t="n">
        <x:v>3.348</x:v>
      </x:c>
      <x:c r="F110" s="40" t="n">
        <x:v>2.5296</x:v>
      </x:c>
      <x:c r="G110" s="40" t="n">
        <x:v>339.8964</x:v>
      </x:c>
      <x:c r="H110" s="44" t="n">
        <x:v>205000</x:v>
      </x:c>
      <x:c r="I110" s="40" t="n">
        <x:v>5.799573</x:v>
      </x:c>
      <x:c r="J110" s="25" t="str">
        <x:v>SYNTHETIC_ASSUMPTION</x:v>
      </x:c>
    </x:row>
    <x:row r="111">
      <x:c r="A111" s="39" t="n">
        <x:v>45748</x:v>
      </x:c>
      <x:c r="B111" s="25" t="str">
        <x:v>Membership Rewards &amp; Card Member Benefits</x:v>
      </x:c>
      <x:c r="C111" s="25" t="str">
        <x:v>Director</x:v>
      </x:c>
      <x:c r="D111" s="40" t="n">
        <x:v>185.946</x:v>
      </x:c>
      <x:c r="E111" s="40" t="n">
        <x:v>1.8359999999999999</x:v>
      </x:c>
      <x:c r="F111" s="40" t="n">
        <x:v>1.3872000000000002</x:v>
      </x:c>
      <x:c r="G111" s="40" t="n">
        <x:v>186.39480000000003</x:v>
      </x:c>
      <x:c r="H111" s="44" t="n">
        <x:v>285000</x:v>
      </x:c>
      <x:c r="I111" s="40" t="n">
        <x:v>4.421547</x:v>
      </x:c>
      <x:c r="J111" s="25" t="str">
        <x:v>SYNTHETIC_ASSUMPTION</x:v>
      </x:c>
    </x:row>
    <x:row r="112">
      <x:c r="A112" s="39" t="n">
        <x:v>45748</x:v>
      </x:c>
      <x:c r="B112" s="25" t="str">
        <x:v>Membership Rewards &amp; Card Member Benefits</x:v>
      </x:c>
      <x:c r="C112" s="25" t="str">
        <x:v>VP+</x:v>
      </x:c>
      <x:c r="D112" s="40" t="n">
        <x:v>65.628</x:v>
      </x:c>
      <x:c r="E112" s="40" t="n">
        <x:v>0.6479999999999999</x:v>
      </x:c>
      <x:c r="F112" s="40" t="n">
        <x:v>0.4896</x:v>
      </x:c>
      <x:c r="G112" s="40" t="n">
        <x:v>65.7864</x:v>
      </x:c>
      <x:c r="H112" s="44" t="n">
        <x:v>430000</x:v>
      </x:c>
      <x:c r="I112" s="40" t="n">
        <x:v>2.3545079999999996</x:v>
      </x:c>
      <x:c r="J112" s="25" t="str">
        <x:v>SYNTHETIC_ASSUMPTION</x:v>
      </x:c>
    </x:row>
    <x:row r="113">
      <x:c r="A113" s="39" t="n">
        <x:v>45748</x:v>
      </x:c>
      <x:c r="B113" s="25" t="str">
        <x:v>Travel, Lifestyle, Dining &amp; Lounges</x:v>
      </x:c>
      <x:c r="C113" s="25" t="str">
        <x:v>Analyst / Associate</x:v>
      </x:c>
      <x:c r="D113" s="40" t="n">
        <x:v>335.432</x:v>
      </x:c>
      <x:c r="E113" s="40" t="n">
        <x:v>3.3120000000000003</x:v>
      </x:c>
      <x:c r="F113" s="40" t="n">
        <x:v>2.5024</x:v>
      </x:c>
      <x:c r="G113" s="40" t="n">
        <x:v>336.2416</x:v>
      </x:c>
      <x:c r="H113" s="44" t="n">
        <x:v>145000</x:v>
      </x:c>
      <x:c r="I113" s="40" t="n">
        <x:v>4.058028</x:v>
      </x:c>
      <x:c r="J113" s="25" t="str">
        <x:v>SYNTHETIC_ASSUMPTION</x:v>
      </x:c>
    </x:row>
    <x:row r="114">
      <x:c r="A114" s="39" t="n">
        <x:v>45748</x:v>
      </x:c>
      <x:c r="B114" s="25" t="str">
        <x:v>Travel, Lifestyle, Dining &amp; Lounges</x:v>
      </x:c>
      <x:c r="C114" s="25" t="str">
        <x:v>Manager / Senior Manager</x:v>
      </x:c>
      <x:c r="D114" s="40" t="n">
        <x:v>226.05200000000002</x:v>
      </x:c>
      <x:c r="E114" s="40" t="n">
        <x:v>2.232</x:v>
      </x:c>
      <x:c r="F114" s="40" t="n">
        <x:v>1.6864000000000001</x:v>
      </x:c>
      <x:c r="G114" s="40" t="n">
        <x:v>226.5976</x:v>
      </x:c>
      <x:c r="H114" s="44" t="n">
        <x:v>205000</x:v>
      </x:c>
      <x:c r="I114" s="40" t="n">
        <x:v>3.866382</x:v>
      </x:c>
      <x:c r="J114" s="25" t="str">
        <x:v>SYNTHETIC_ASSUMPTION</x:v>
      </x:c>
    </x:row>
    <x:row r="115">
      <x:c r="A115" s="39" t="n">
        <x:v>45748</x:v>
      </x:c>
      <x:c r="B115" s="25" t="str">
        <x:v>Travel, Lifestyle, Dining &amp; Lounges</x:v>
      </x:c>
      <x:c r="C115" s="25" t="str">
        <x:v>Director</x:v>
      </x:c>
      <x:c r="D115" s="40" t="n">
        <x:v>123.96400000000001</x:v>
      </x:c>
      <x:c r="E115" s="40" t="n">
        <x:v>1.2240000000000002</x:v>
      </x:c>
      <x:c r="F115" s="40" t="n">
        <x:v>0.9248000000000002</x:v>
      </x:c>
      <x:c r="G115" s="40" t="n">
        <x:v>124.26320000000001</x:v>
      </x:c>
      <x:c r="H115" s="44" t="n">
        <x:v>285000</x:v>
      </x:c>
      <x:c r="I115" s="40" t="n">
        <x:v>2.9476980000000004</x:v>
      </x:c>
      <x:c r="J115" s="25" t="str">
        <x:v>SYNTHETIC_ASSUMPTION</x:v>
      </x:c>
    </x:row>
    <x:row r="116">
      <x:c r="A116" s="39" t="n">
        <x:v>45748</x:v>
      </x:c>
      <x:c r="B116" s="25" t="str">
        <x:v>Travel, Lifestyle, Dining &amp; Lounges</x:v>
      </x:c>
      <x:c r="C116" s="25" t="str">
        <x:v>VP+</x:v>
      </x:c>
      <x:c r="D116" s="40" t="n">
        <x:v>43.752</x:v>
      </x:c>
      <x:c r="E116" s="40" t="n">
        <x:v>0.432</x:v>
      </x:c>
      <x:c r="F116" s="40" t="n">
        <x:v>0.3264</x:v>
      </x:c>
      <x:c r="G116" s="40" t="n">
        <x:v>43.8576</x:v>
      </x:c>
      <x:c r="H116" s="44" t="n">
        <x:v>430000</x:v>
      </x:c>
      <x:c r="I116" s="40" t="n">
        <x:v>1.569672</x:v>
      </x:c>
      <x:c r="J116" s="25" t="str">
        <x:v>SYNTHETIC_ASSUMPTION</x:v>
      </x:c>
    </x:row>
    <x:row r="117">
      <x:c r="A117" s="39" t="n">
        <x:v>45748</x:v>
      </x:c>
      <x:c r="B117" s="25" t="str">
        <x:v>Cobrand Partnerships &amp; Business Development</x:v>
      </x:c>
      <x:c r="C117" s="25" t="str">
        <x:v>Analyst / Associate</x:v>
      </x:c>
      <x:c r="D117" s="40" t="n">
        <x:v>419.29</x:v>
      </x:c>
      <x:c r="E117" s="40" t="n">
        <x:v>4.140000000000001</x:v>
      </x:c>
      <x:c r="F117" s="40" t="n">
        <x:v>3.1280000000000006</x:v>
      </x:c>
      <x:c r="G117" s="40" t="n">
        <x:v>420.302</x:v>
      </x:c>
      <x:c r="H117" s="44" t="n">
        <x:v>145000</x:v>
      </x:c>
      <x:c r="I117" s="40" t="n">
        <x:v>5.072535000000001</x:v>
      </x:c>
      <x:c r="J117" s="25" t="str">
        <x:v>SYNTHETIC_ASSUMPTION</x:v>
      </x:c>
    </x:row>
    <x:row r="118">
      <x:c r="A118" s="39" t="n">
        <x:v>45748</x:v>
      </x:c>
      <x:c r="B118" s="25" t="str">
        <x:v>Cobrand Partnerships &amp; Business Development</x:v>
      </x:c>
      <x:c r="C118" s="25" t="str">
        <x:v>Manager / Senior Manager</x:v>
      </x:c>
      <x:c r="D118" s="40" t="n">
        <x:v>282.565</x:v>
      </x:c>
      <x:c r="E118" s="40" t="n">
        <x:v>2.79</x:v>
      </x:c>
      <x:c r="F118" s="40" t="n">
        <x:v>2.108</x:v>
      </x:c>
      <x:c r="G118" s="40" t="n">
        <x:v>283.247</x:v>
      </x:c>
      <x:c r="H118" s="44" t="n">
        <x:v>205000</x:v>
      </x:c>
      <x:c r="I118" s="40" t="n">
        <x:v>4.8329775</x:v>
      </x:c>
      <x:c r="J118" s="25" t="str">
        <x:v>SYNTHETIC_ASSUMPTION</x:v>
      </x:c>
    </x:row>
    <x:row r="119">
      <x:c r="A119" s="39" t="n">
        <x:v>45748</x:v>
      </x:c>
      <x:c r="B119" s="25" t="str">
        <x:v>Cobrand Partnerships &amp; Business Development</x:v>
      </x:c>
      <x:c r="C119" s="25" t="str">
        <x:v>Director</x:v>
      </x:c>
      <x:c r="D119" s="40" t="n">
        <x:v>154.955</x:v>
      </x:c>
      <x:c r="E119" s="40" t="n">
        <x:v>1.53</x:v>
      </x:c>
      <x:c r="F119" s="40" t="n">
        <x:v>1.1560000000000001</x:v>
      </x:c>
      <x:c r="G119" s="40" t="n">
        <x:v>155.329</x:v>
      </x:c>
      <x:c r="H119" s="44" t="n">
        <x:v>285000</x:v>
      </x:c>
      <x:c r="I119" s="40" t="n">
        <x:v>3.6846225000000006</x:v>
      </x:c>
      <x:c r="J119" s="25" t="str">
        <x:v>SYNTHETIC_ASSUMPTION</x:v>
      </x:c>
    </x:row>
    <x:row r="120">
      <x:c r="A120" s="39" t="n">
        <x:v>45748</x:v>
      </x:c>
      <x:c r="B120" s="25" t="str">
        <x:v>Cobrand Partnerships &amp; Business Development</x:v>
      </x:c>
      <x:c r="C120" s="25" t="str">
        <x:v>VP+</x:v>
      </x:c>
      <x:c r="D120" s="40" t="n">
        <x:v>54.69</x:v>
      </x:c>
      <x:c r="E120" s="40" t="n">
        <x:v>0.54</x:v>
      </x:c>
      <x:c r="F120" s="40" t="n">
        <x:v>0.40800000000000003</x:v>
      </x:c>
      <x:c r="G120" s="40" t="n">
        <x:v>54.822</x:v>
      </x:c>
      <x:c r="H120" s="44" t="n">
        <x:v>430000</x:v>
      </x:c>
      <x:c r="I120" s="40" t="n">
        <x:v>1.96209</x:v>
      </x:c>
      <x:c r="J120" s="25" t="str">
        <x:v>SYNTHETIC_ASSUMPTION</x:v>
      </x:c>
    </x:row>
    <x:row r="121">
      <x:c r="A121" s="39" t="n">
        <x:v>45748</x:v>
      </x:c>
      <x:c r="B121" s="25" t="str">
        <x:v>U.S. Consumer Marketing &amp; Acquisition</x:v>
      </x:c>
      <x:c r="C121" s="25" t="str">
        <x:v>Analyst / Associate</x:v>
      </x:c>
      <x:c r="D121" s="40" t="n">
        <x:v>503.148</x:v>
      </x:c>
      <x:c r="E121" s="40" t="n">
        <x:v>4.968</x:v>
      </x:c>
      <x:c r="F121" s="40" t="n">
        <x:v>3.7536</x:v>
      </x:c>
      <x:c r="G121" s="40" t="n">
        <x:v>504.36240000000004</x:v>
      </x:c>
      <x:c r="H121" s="44" t="n">
        <x:v>145000</x:v>
      </x:c>
      <x:c r="I121" s="40" t="n">
        <x:v>6.087041999999999</x:v>
      </x:c>
      <x:c r="J121" s="25" t="str">
        <x:v>SYNTHETIC_ASSUMPTION</x:v>
      </x:c>
    </x:row>
    <x:row r="122">
      <x:c r="A122" s="39" t="n">
        <x:v>45748</x:v>
      </x:c>
      <x:c r="B122" s="25" t="str">
        <x:v>U.S. Consumer Marketing &amp; Acquisition</x:v>
      </x:c>
      <x:c r="C122" s="25" t="str">
        <x:v>Manager / Senior Manager</x:v>
      </x:c>
      <x:c r="D122" s="40" t="n">
        <x:v>339.078</x:v>
      </x:c>
      <x:c r="E122" s="40" t="n">
        <x:v>3.348</x:v>
      </x:c>
      <x:c r="F122" s="40" t="n">
        <x:v>2.5296</x:v>
      </x:c>
      <x:c r="G122" s="40" t="n">
        <x:v>339.8964</x:v>
      </x:c>
      <x:c r="H122" s="44" t="n">
        <x:v>205000</x:v>
      </x:c>
      <x:c r="I122" s="40" t="n">
        <x:v>5.799573</x:v>
      </x:c>
      <x:c r="J122" s="25" t="str">
        <x:v>SYNTHETIC_ASSUMPTION</x:v>
      </x:c>
    </x:row>
    <x:row r="123">
      <x:c r="A123" s="39" t="n">
        <x:v>45748</x:v>
      </x:c>
      <x:c r="B123" s="25" t="str">
        <x:v>U.S. Consumer Marketing &amp; Acquisition</x:v>
      </x:c>
      <x:c r="C123" s="25" t="str">
        <x:v>Director</x:v>
      </x:c>
      <x:c r="D123" s="40" t="n">
        <x:v>185.946</x:v>
      </x:c>
      <x:c r="E123" s="40" t="n">
        <x:v>1.8359999999999999</x:v>
      </x:c>
      <x:c r="F123" s="40" t="n">
        <x:v>1.3872000000000002</x:v>
      </x:c>
      <x:c r="G123" s="40" t="n">
        <x:v>186.39480000000003</x:v>
      </x:c>
      <x:c r="H123" s="44" t="n">
        <x:v>285000</x:v>
      </x:c>
      <x:c r="I123" s="40" t="n">
        <x:v>4.421547</x:v>
      </x:c>
      <x:c r="J123" s="25" t="str">
        <x:v>SYNTHETIC_ASSUMPTION</x:v>
      </x:c>
    </x:row>
    <x:row r="124">
      <x:c r="A124" s="39" t="n">
        <x:v>45748</x:v>
      </x:c>
      <x:c r="B124" s="25" t="str">
        <x:v>U.S. Consumer Marketing &amp; Acquisition</x:v>
      </x:c>
      <x:c r="C124" s="25" t="str">
        <x:v>VP+</x:v>
      </x:c>
      <x:c r="D124" s="40" t="n">
        <x:v>65.628</x:v>
      </x:c>
      <x:c r="E124" s="40" t="n">
        <x:v>0.6479999999999999</x:v>
      </x:c>
      <x:c r="F124" s="40" t="n">
        <x:v>0.4896</x:v>
      </x:c>
      <x:c r="G124" s="40" t="n">
        <x:v>65.7864</x:v>
      </x:c>
      <x:c r="H124" s="44" t="n">
        <x:v>430000</x:v>
      </x:c>
      <x:c r="I124" s="40" t="n">
        <x:v>2.3545079999999996</x:v>
      </x:c>
      <x:c r="J124" s="25" t="str">
        <x:v>SYNTHETIC_ASSUMPTION</x:v>
      </x:c>
    </x:row>
    <x:row r="125">
      <x:c r="A125" s="39" t="n">
        <x:v>45748</x:v>
      </x:c>
      <x:c r="B125" s="25" t="str">
        <x:v>Product, Data &amp; Technology</x:v>
      </x:c>
      <x:c r="C125" s="25" t="str">
        <x:v>Analyst / Associate</x:v>
      </x:c>
      <x:c r="D125" s="40" t="n">
        <x:v>754.7220000000001</x:v>
      </x:c>
      <x:c r="E125" s="40" t="n">
        <x:v>7.452</x:v>
      </x:c>
      <x:c r="F125" s="40" t="n">
        <x:v>5.630400000000001</x:v>
      </x:c>
      <x:c r="G125" s="40" t="n">
        <x:v>756.5436</x:v>
      </x:c>
      <x:c r="H125" s="44" t="n">
        <x:v>145000</x:v>
      </x:c>
      <x:c r="I125" s="40" t="n">
        <x:v>9.130563</x:v>
      </x:c>
      <x:c r="J125" s="25" t="str">
        <x:v>SYNTHETIC_ASSUMPTION</x:v>
      </x:c>
    </x:row>
    <x:row r="126">
      <x:c r="A126" s="39" t="n">
        <x:v>45748</x:v>
      </x:c>
      <x:c r="B126" s="25" t="str">
        <x:v>Product, Data &amp; Technology</x:v>
      </x:c>
      <x:c r="C126" s="25" t="str">
        <x:v>Manager / Senior Manager</x:v>
      </x:c>
      <x:c r="D126" s="40" t="n">
        <x:v>508.617</x:v>
      </x:c>
      <x:c r="E126" s="40" t="n">
        <x:v>5.021999999999999</x:v>
      </x:c>
      <x:c r="F126" s="40" t="n">
        <x:v>3.7944</x:v>
      </x:c>
      <x:c r="G126" s="40" t="n">
        <x:v>509.84459999999996</x:v>
      </x:c>
      <x:c r="H126" s="44" t="n">
        <x:v>205000</x:v>
      </x:c>
      <x:c r="I126" s="40" t="n">
        <x:v>8.699359499999998</x:v>
      </x:c>
      <x:c r="J126" s="25" t="str">
        <x:v>SYNTHETIC_ASSUMPTION</x:v>
      </x:c>
    </x:row>
    <x:row r="127">
      <x:c r="A127" s="39" t="n">
        <x:v>45748</x:v>
      </x:c>
      <x:c r="B127" s="25" t="str">
        <x:v>Product, Data &amp; Technology</x:v>
      </x:c>
      <x:c r="C127" s="25" t="str">
        <x:v>Director</x:v>
      </x:c>
      <x:c r="D127" s="40" t="n">
        <x:v>278.91900000000004</x:v>
      </x:c>
      <x:c r="E127" s="40" t="n">
        <x:v>2.754</x:v>
      </x:c>
      <x:c r="F127" s="40" t="n">
        <x:v>2.0808</x:v>
      </x:c>
      <x:c r="G127" s="40" t="n">
        <x:v>279.5922</x:v>
      </x:c>
      <x:c r="H127" s="44" t="n">
        <x:v>285000</x:v>
      </x:c>
      <x:c r="I127" s="40" t="n">
        <x:v>6.6323205</x:v>
      </x:c>
      <x:c r="J127" s="25" t="str">
        <x:v>SYNTHETIC_ASSUMPTION</x:v>
      </x:c>
    </x:row>
    <x:row r="128">
      <x:c r="A128" s="39" t="n">
        <x:v>45748</x:v>
      </x:c>
      <x:c r="B128" s="25" t="str">
        <x:v>Product, Data &amp; Technology</x:v>
      </x:c>
      <x:c r="C128" s="25" t="str">
        <x:v>VP+</x:v>
      </x:c>
      <x:c r="D128" s="40" t="n">
        <x:v>98.442</x:v>
      </x:c>
      <x:c r="E128" s="40" t="n">
        <x:v>0.972</x:v>
      </x:c>
      <x:c r="F128" s="40" t="n">
        <x:v>0.7343999999999999</x:v>
      </x:c>
      <x:c r="G128" s="40" t="n">
        <x:v>98.6796</x:v>
      </x:c>
      <x:c r="H128" s="44" t="n">
        <x:v>430000</x:v>
      </x:c>
      <x:c r="I128" s="40" t="n">
        <x:v>3.5317619999999996</x:v>
      </x:c>
      <x:c r="J128" s="25" t="str">
        <x:v>SYNTHETIC_ASSUMPTION</x:v>
      </x:c>
    </x:row>
    <x:row r="129">
      <x:c r="A129" s="39" t="n">
        <x:v>45748</x:v>
      </x:c>
      <x:c r="B129" s="25" t="str">
        <x:v>Servicing, Operations &amp; Business Support</x:v>
      </x:c>
      <x:c r="C129" s="25" t="str">
        <x:v>Analyst / Associate</x:v>
      </x:c>
      <x:c r="D129" s="40" t="n">
        <x:v>670.864</x:v>
      </x:c>
      <x:c r="E129" s="40" t="n">
        <x:v>6.6240000000000006</x:v>
      </x:c>
      <x:c r="F129" s="40" t="n">
        <x:v>5.0048</x:v>
      </x:c>
      <x:c r="G129" s="40" t="n">
        <x:v>672.4832</x:v>
      </x:c>
      <x:c r="H129" s="44" t="n">
        <x:v>145000</x:v>
      </x:c>
      <x:c r="I129" s="40" t="n">
        <x:v>8.116056</x:v>
      </x:c>
      <x:c r="J129" s="25" t="str">
        <x:v>SYNTHETIC_ASSUMPTION</x:v>
      </x:c>
    </x:row>
    <x:row r="130">
      <x:c r="A130" s="39" t="n">
        <x:v>45748</x:v>
      </x:c>
      <x:c r="B130" s="25" t="str">
        <x:v>Servicing, Operations &amp; Business Support</x:v>
      </x:c>
      <x:c r="C130" s="25" t="str">
        <x:v>Manager / Senior Manager</x:v>
      </x:c>
      <x:c r="D130" s="40" t="n">
        <x:v>452.10400000000004</x:v>
      </x:c>
      <x:c r="E130" s="40" t="n">
        <x:v>4.464</x:v>
      </x:c>
      <x:c r="F130" s="40" t="n">
        <x:v>3.3728000000000002</x:v>
      </x:c>
      <x:c r="G130" s="40" t="n">
        <x:v>453.1952</x:v>
      </x:c>
      <x:c r="H130" s="44" t="n">
        <x:v>205000</x:v>
      </x:c>
      <x:c r="I130" s="40" t="n">
        <x:v>7.732764</x:v>
      </x:c>
      <x:c r="J130" s="25" t="str">
        <x:v>SYNTHETIC_ASSUMPTION</x:v>
      </x:c>
    </x:row>
    <x:row r="131">
      <x:c r="A131" s="39" t="n">
        <x:v>45748</x:v>
      </x:c>
      <x:c r="B131" s="25" t="str">
        <x:v>Servicing, Operations &amp; Business Support</x:v>
      </x:c>
      <x:c r="C131" s="25" t="str">
        <x:v>Director</x:v>
      </x:c>
      <x:c r="D131" s="40" t="n">
        <x:v>247.92800000000003</x:v>
      </x:c>
      <x:c r="E131" s="40" t="n">
        <x:v>2.4480000000000004</x:v>
      </x:c>
      <x:c r="F131" s="40" t="n">
        <x:v>1.8496000000000004</x:v>
      </x:c>
      <x:c r="G131" s="40" t="n">
        <x:v>248.52640000000002</x:v>
      </x:c>
      <x:c r="H131" s="44" t="n">
        <x:v>285000</x:v>
      </x:c>
      <x:c r="I131" s="40" t="n">
        <x:v>5.895396000000001</x:v>
      </x:c>
      <x:c r="J131" s="25" t="str">
        <x:v>SYNTHETIC_ASSUMPTION</x:v>
      </x:c>
    </x:row>
    <x:row r="132">
      <x:c r="A132" s="39" t="n">
        <x:v>45748</x:v>
      </x:c>
      <x:c r="B132" s="25" t="str">
        <x:v>Servicing, Operations &amp; Business Support</x:v>
      </x:c>
      <x:c r="C132" s="25" t="str">
        <x:v>VP+</x:v>
      </x:c>
      <x:c r="D132" s="40" t="n">
        <x:v>87.504</x:v>
      </x:c>
      <x:c r="E132" s="40" t="n">
        <x:v>0.864</x:v>
      </x:c>
      <x:c r="F132" s="40" t="n">
        <x:v>0.6528</x:v>
      </x:c>
      <x:c r="G132" s="40" t="n">
        <x:v>87.7152</x:v>
      </x:c>
      <x:c r="H132" s="44" t="n">
        <x:v>430000</x:v>
      </x:c>
      <x:c r="I132" s="40" t="n">
        <x:v>3.139344</x:v>
      </x:c>
      <x:c r="J132" s="25" t="str">
        <x:v>SYNTHETIC_ASSUMPTION</x:v>
      </x:c>
    </x:row>
    <x:row r="133">
      <x:c r="A133" s="39" t="n">
        <x:v>45778</x:v>
      </x:c>
      <x:c r="B133" s="25" t="str">
        <x:v>Consumer Card Products &amp; Portfolio</x:v>
      </x:c>
      <x:c r="C133" s="25" t="str">
        <x:v>Analyst / Associate</x:v>
      </x:c>
      <x:c r="D133" s="40" t="n">
        <x:v>504.36240000000004</x:v>
      </x:c>
      <x:c r="E133" s="40" t="n">
        <x:v>4.692</x:v>
      </x:c>
      <x:c r="F133" s="40" t="n">
        <x:v>3.8640000000000003</x:v>
      </x:c>
      <x:c r="G133" s="40" t="n">
        <x:v>505.1904</x:v>
      </x:c>
      <x:c r="H133" s="44" t="n">
        <x:v>145000</x:v>
      </x:c>
      <x:c r="I133" s="40" t="n">
        <x:v>6.0993815</x:v>
      </x:c>
      <x:c r="J133" s="25" t="str">
        <x:v>SYNTHETIC_ASSUMPTION</x:v>
      </x:c>
    </x:row>
    <x:row r="134">
      <x:c r="A134" s="39" t="n">
        <x:v>45778</x:v>
      </x:c>
      <x:c r="B134" s="25" t="str">
        <x:v>Consumer Card Products &amp; Portfolio</x:v>
      </x:c>
      <x:c r="C134" s="25" t="str">
        <x:v>Manager / Senior Manager</x:v>
      </x:c>
      <x:c r="D134" s="40" t="n">
        <x:v>339.8964</x:v>
      </x:c>
      <x:c r="E134" s="40" t="n">
        <x:v>3.162</x:v>
      </x:c>
      <x:c r="F134" s="40" t="n">
        <x:v>2.604</x:v>
      </x:c>
      <x:c r="G134" s="40" t="n">
        <x:v>340.4544</x:v>
      </x:c>
      <x:c r="H134" s="44" t="n">
        <x:v>205000</x:v>
      </x:c>
      <x:c r="I134" s="40" t="n">
        <x:v>5.81132975</x:v>
      </x:c>
      <x:c r="J134" s="25" t="str">
        <x:v>SYNTHETIC_ASSUMPTION</x:v>
      </x:c>
    </x:row>
    <x:row r="135">
      <x:c r="A135" s="39" t="n">
        <x:v>45778</x:v>
      </x:c>
      <x:c r="B135" s="25" t="str">
        <x:v>Consumer Card Products &amp; Portfolio</x:v>
      </x:c>
      <x:c r="C135" s="25" t="str">
        <x:v>Director</x:v>
      </x:c>
      <x:c r="D135" s="40" t="n">
        <x:v>186.39480000000003</x:v>
      </x:c>
      <x:c r="E135" s="40" t="n">
        <x:v>1.734</x:v>
      </x:c>
      <x:c r="F135" s="40" t="n">
        <x:v>1.4280000000000002</x:v>
      </x:c>
      <x:c r="G135" s="40" t="n">
        <x:v>186.70080000000002</x:v>
      </x:c>
      <x:c r="H135" s="44" t="n">
        <x:v>285000</x:v>
      </x:c>
      <x:c r="I135" s="40" t="n">
        <x:v>4.43051025</x:v>
      </x:c>
      <x:c r="J135" s="25" t="str">
        <x:v>SYNTHETIC_ASSUMPTION</x:v>
      </x:c>
    </x:row>
    <x:row r="136">
      <x:c r="A136" s="39" t="n">
        <x:v>45778</x:v>
      </x:c>
      <x:c r="B136" s="25" t="str">
        <x:v>Consumer Card Products &amp; Portfolio</x:v>
      </x:c>
      <x:c r="C136" s="25" t="str">
        <x:v>VP+</x:v>
      </x:c>
      <x:c r="D136" s="40" t="n">
        <x:v>65.7864</x:v>
      </x:c>
      <x:c r="E136" s="40" t="n">
        <x:v>0.612</x:v>
      </x:c>
      <x:c r="F136" s="40" t="n">
        <x:v>0.504</x:v>
      </x:c>
      <x:c r="G136" s="40" t="n">
        <x:v>65.8944</x:v>
      </x:c>
      <x:c r="H136" s="44" t="n">
        <x:v>430000</x:v>
      </x:c>
      <x:c r="I136" s="40" t="n">
        <x:v>2.3592809999999997</x:v>
      </x:c>
      <x:c r="J136" s="25" t="str">
        <x:v>SYNTHETIC_ASSUMPTION</x:v>
      </x:c>
    </x:row>
    <x:row r="137">
      <x:c r="A137" s="39" t="n">
        <x:v>45778</x:v>
      </x:c>
      <x:c r="B137" s="25" t="str">
        <x:v>Lending &amp; U.S. Consumer Banking</x:v>
      </x:c>
      <x:c r="C137" s="25" t="str">
        <x:v>Analyst / Associate</x:v>
      </x:c>
      <x:c r="D137" s="40" t="n">
        <x:v>504.36240000000004</x:v>
      </x:c>
      <x:c r="E137" s="40" t="n">
        <x:v>4.692</x:v>
      </x:c>
      <x:c r="F137" s="40" t="n">
        <x:v>3.8640000000000003</x:v>
      </x:c>
      <x:c r="G137" s="40" t="n">
        <x:v>505.1904</x:v>
      </x:c>
      <x:c r="H137" s="44" t="n">
        <x:v>145000</x:v>
      </x:c>
      <x:c r="I137" s="40" t="n">
        <x:v>6.0993815</x:v>
      </x:c>
      <x:c r="J137" s="25" t="str">
        <x:v>SYNTHETIC_ASSUMPTION</x:v>
      </x:c>
    </x:row>
    <x:row r="138">
      <x:c r="A138" s="39" t="n">
        <x:v>45778</x:v>
      </x:c>
      <x:c r="B138" s="25" t="str">
        <x:v>Lending &amp; U.S. Consumer Banking</x:v>
      </x:c>
      <x:c r="C138" s="25" t="str">
        <x:v>Manager / Senior Manager</x:v>
      </x:c>
      <x:c r="D138" s="40" t="n">
        <x:v>339.8964</x:v>
      </x:c>
      <x:c r="E138" s="40" t="n">
        <x:v>3.162</x:v>
      </x:c>
      <x:c r="F138" s="40" t="n">
        <x:v>2.604</x:v>
      </x:c>
      <x:c r="G138" s="40" t="n">
        <x:v>340.4544</x:v>
      </x:c>
      <x:c r="H138" s="44" t="n">
        <x:v>205000</x:v>
      </x:c>
      <x:c r="I138" s="40" t="n">
        <x:v>5.81132975</x:v>
      </x:c>
      <x:c r="J138" s="25" t="str">
        <x:v>SYNTHETIC_ASSUMPTION</x:v>
      </x:c>
    </x:row>
    <x:row r="139">
      <x:c r="A139" s="39" t="n">
        <x:v>45778</x:v>
      </x:c>
      <x:c r="B139" s="25" t="str">
        <x:v>Lending &amp; U.S. Consumer Banking</x:v>
      </x:c>
      <x:c r="C139" s="25" t="str">
        <x:v>Director</x:v>
      </x:c>
      <x:c r="D139" s="40" t="n">
        <x:v>186.39480000000003</x:v>
      </x:c>
      <x:c r="E139" s="40" t="n">
        <x:v>1.734</x:v>
      </x:c>
      <x:c r="F139" s="40" t="n">
        <x:v>1.4280000000000002</x:v>
      </x:c>
      <x:c r="G139" s="40" t="n">
        <x:v>186.70080000000002</x:v>
      </x:c>
      <x:c r="H139" s="44" t="n">
        <x:v>285000</x:v>
      </x:c>
      <x:c r="I139" s="40" t="n">
        <x:v>4.43051025</x:v>
      </x:c>
      <x:c r="J139" s="25" t="str">
        <x:v>SYNTHETIC_ASSUMPTION</x:v>
      </x:c>
    </x:row>
    <x:row r="140">
      <x:c r="A140" s="39" t="n">
        <x:v>45778</x:v>
      </x:c>
      <x:c r="B140" s="25" t="str">
        <x:v>Lending &amp; U.S. Consumer Banking</x:v>
      </x:c>
      <x:c r="C140" s="25" t="str">
        <x:v>VP+</x:v>
      </x:c>
      <x:c r="D140" s="40" t="n">
        <x:v>65.7864</x:v>
      </x:c>
      <x:c r="E140" s="40" t="n">
        <x:v>0.612</x:v>
      </x:c>
      <x:c r="F140" s="40" t="n">
        <x:v>0.504</x:v>
      </x:c>
      <x:c r="G140" s="40" t="n">
        <x:v>65.8944</x:v>
      </x:c>
      <x:c r="H140" s="44" t="n">
        <x:v>430000</x:v>
      </x:c>
      <x:c r="I140" s="40" t="n">
        <x:v>2.3592809999999997</x:v>
      </x:c>
      <x:c r="J140" s="25" t="str">
        <x:v>SYNTHETIC_ASSUMPTION</x:v>
      </x:c>
    </x:row>
    <x:row r="141">
      <x:c r="A141" s="39" t="n">
        <x:v>45778</x:v>
      </x:c>
      <x:c r="B141" s="25" t="str">
        <x:v>Membership Rewards &amp; Card Member Benefits</x:v>
      </x:c>
      <x:c r="C141" s="25" t="str">
        <x:v>Analyst / Associate</x:v>
      </x:c>
      <x:c r="D141" s="40" t="n">
        <x:v>504.36240000000004</x:v>
      </x:c>
      <x:c r="E141" s="40" t="n">
        <x:v>4.692</x:v>
      </x:c>
      <x:c r="F141" s="40" t="n">
        <x:v>3.8640000000000003</x:v>
      </x:c>
      <x:c r="G141" s="40" t="n">
        <x:v>505.1904</x:v>
      </x:c>
      <x:c r="H141" s="44" t="n">
        <x:v>145000</x:v>
      </x:c>
      <x:c r="I141" s="40" t="n">
        <x:v>6.0993815</x:v>
      </x:c>
      <x:c r="J141" s="25" t="str">
        <x:v>SYNTHETIC_ASSUMPTION</x:v>
      </x:c>
    </x:row>
    <x:row r="142">
      <x:c r="A142" s="39" t="n">
        <x:v>45778</x:v>
      </x:c>
      <x:c r="B142" s="25" t="str">
        <x:v>Membership Rewards &amp; Card Member Benefits</x:v>
      </x:c>
      <x:c r="C142" s="25" t="str">
        <x:v>Manager / Senior Manager</x:v>
      </x:c>
      <x:c r="D142" s="40" t="n">
        <x:v>339.8964</x:v>
      </x:c>
      <x:c r="E142" s="40" t="n">
        <x:v>3.162</x:v>
      </x:c>
      <x:c r="F142" s="40" t="n">
        <x:v>2.604</x:v>
      </x:c>
      <x:c r="G142" s="40" t="n">
        <x:v>340.4544</x:v>
      </x:c>
      <x:c r="H142" s="44" t="n">
        <x:v>205000</x:v>
      </x:c>
      <x:c r="I142" s="40" t="n">
        <x:v>5.81132975</x:v>
      </x:c>
      <x:c r="J142" s="25" t="str">
        <x:v>SYNTHETIC_ASSUMPTION</x:v>
      </x:c>
    </x:row>
    <x:row r="143">
      <x:c r="A143" s="39" t="n">
        <x:v>45778</x:v>
      </x:c>
      <x:c r="B143" s="25" t="str">
        <x:v>Membership Rewards &amp; Card Member Benefits</x:v>
      </x:c>
      <x:c r="C143" s="25" t="str">
        <x:v>Director</x:v>
      </x:c>
      <x:c r="D143" s="40" t="n">
        <x:v>186.39480000000003</x:v>
      </x:c>
      <x:c r="E143" s="40" t="n">
        <x:v>1.734</x:v>
      </x:c>
      <x:c r="F143" s="40" t="n">
        <x:v>1.4280000000000002</x:v>
      </x:c>
      <x:c r="G143" s="40" t="n">
        <x:v>186.70080000000002</x:v>
      </x:c>
      <x:c r="H143" s="44" t="n">
        <x:v>285000</x:v>
      </x:c>
      <x:c r="I143" s="40" t="n">
        <x:v>4.43051025</x:v>
      </x:c>
      <x:c r="J143" s="25" t="str">
        <x:v>SYNTHETIC_ASSUMPTION</x:v>
      </x:c>
    </x:row>
    <x:row r="144">
      <x:c r="A144" s="39" t="n">
        <x:v>45778</x:v>
      </x:c>
      <x:c r="B144" s="25" t="str">
        <x:v>Membership Rewards &amp; Card Member Benefits</x:v>
      </x:c>
      <x:c r="C144" s="25" t="str">
        <x:v>VP+</x:v>
      </x:c>
      <x:c r="D144" s="40" t="n">
        <x:v>65.7864</x:v>
      </x:c>
      <x:c r="E144" s="40" t="n">
        <x:v>0.612</x:v>
      </x:c>
      <x:c r="F144" s="40" t="n">
        <x:v>0.504</x:v>
      </x:c>
      <x:c r="G144" s="40" t="n">
        <x:v>65.8944</x:v>
      </x:c>
      <x:c r="H144" s="44" t="n">
        <x:v>430000</x:v>
      </x:c>
      <x:c r="I144" s="40" t="n">
        <x:v>2.3592809999999997</x:v>
      </x:c>
      <x:c r="J144" s="25" t="str">
        <x:v>SYNTHETIC_ASSUMPTION</x:v>
      </x:c>
    </x:row>
    <x:row r="145">
      <x:c r="A145" s="39" t="n">
        <x:v>45778</x:v>
      </x:c>
      <x:c r="B145" s="25" t="str">
        <x:v>Travel, Lifestyle, Dining &amp; Lounges</x:v>
      </x:c>
      <x:c r="C145" s="25" t="str">
        <x:v>Analyst / Associate</x:v>
      </x:c>
      <x:c r="D145" s="40" t="n">
        <x:v>336.2416</x:v>
      </x:c>
      <x:c r="E145" s="40" t="n">
        <x:v>3.128</x:v>
      </x:c>
      <x:c r="F145" s="40" t="n">
        <x:v>2.5760000000000005</x:v>
      </x:c>
      <x:c r="G145" s="40" t="n">
        <x:v>336.7936</x:v>
      </x:c>
      <x:c r="H145" s="44" t="n">
        <x:v>145000</x:v>
      </x:c>
      <x:c r="I145" s="40" t="n">
        <x:v>4.066254333333333</x:v>
      </x:c>
      <x:c r="J145" s="25" t="str">
        <x:v>SYNTHETIC_ASSUMPTION</x:v>
      </x:c>
    </x:row>
    <x:row r="146">
      <x:c r="A146" s="39" t="n">
        <x:v>45778</x:v>
      </x:c>
      <x:c r="B146" s="25" t="str">
        <x:v>Travel, Lifestyle, Dining &amp; Lounges</x:v>
      </x:c>
      <x:c r="C146" s="25" t="str">
        <x:v>Manager / Senior Manager</x:v>
      </x:c>
      <x:c r="D146" s="40" t="n">
        <x:v>226.5976</x:v>
      </x:c>
      <x:c r="E146" s="40" t="n">
        <x:v>2.108</x:v>
      </x:c>
      <x:c r="F146" s="40" t="n">
        <x:v>1.7360000000000002</x:v>
      </x:c>
      <x:c r="G146" s="40" t="n">
        <x:v>226.96959999999999</x:v>
      </x:c>
      <x:c r="H146" s="44" t="n">
        <x:v>205000</x:v>
      </x:c>
      <x:c r="I146" s="40" t="n">
        <x:v>3.8742198333333335</x:v>
      </x:c>
      <x:c r="J146" s="25" t="str">
        <x:v>SYNTHETIC_ASSUMPTION</x:v>
      </x:c>
    </x:row>
    <x:row r="147">
      <x:c r="A147" s="39" t="n">
        <x:v>45778</x:v>
      </x:c>
      <x:c r="B147" s="25" t="str">
        <x:v>Travel, Lifestyle, Dining &amp; Lounges</x:v>
      </x:c>
      <x:c r="C147" s="25" t="str">
        <x:v>Director</x:v>
      </x:c>
      <x:c r="D147" s="40" t="n">
        <x:v>124.26320000000001</x:v>
      </x:c>
      <x:c r="E147" s="40" t="n">
        <x:v>1.1560000000000001</x:v>
      </x:c>
      <x:c r="F147" s="40" t="n">
        <x:v>0.9520000000000002</x:v>
      </x:c>
      <x:c r="G147" s="40" t="n">
        <x:v>124.4672</x:v>
      </x:c>
      <x:c r="H147" s="44" t="n">
        <x:v>285000</x:v>
      </x:c>
      <x:c r="I147" s="40" t="n">
        <x:v>2.9536735000000003</x:v>
      </x:c>
      <x:c r="J147" s="25" t="str">
        <x:v>SYNTHETIC_ASSUMPTION</x:v>
      </x:c>
    </x:row>
    <x:row r="148">
      <x:c r="A148" s="39" t="n">
        <x:v>45778</x:v>
      </x:c>
      <x:c r="B148" s="25" t="str">
        <x:v>Travel, Lifestyle, Dining &amp; Lounges</x:v>
      </x:c>
      <x:c r="C148" s="25" t="str">
        <x:v>VP+</x:v>
      </x:c>
      <x:c r="D148" s="40" t="n">
        <x:v>43.8576</x:v>
      </x:c>
      <x:c r="E148" s="40" t="n">
        <x:v>0.408</x:v>
      </x:c>
      <x:c r="F148" s="40" t="n">
        <x:v>0.336</x:v>
      </x:c>
      <x:c r="G148" s="40" t="n">
        <x:v>43.92959999999999</x:v>
      </x:c>
      <x:c r="H148" s="44" t="n">
        <x:v>430000</x:v>
      </x:c>
      <x:c r="I148" s="40" t="n">
        <x:v>1.572854</x:v>
      </x:c>
      <x:c r="J148" s="25" t="str">
        <x:v>SYNTHETIC_ASSUMPTION</x:v>
      </x:c>
    </x:row>
    <x:row r="149">
      <x:c r="A149" s="39" t="n">
        <x:v>45778</x:v>
      </x:c>
      <x:c r="B149" s="25" t="str">
        <x:v>Cobrand Partnerships &amp; Business Development</x:v>
      </x:c>
      <x:c r="C149" s="25" t="str">
        <x:v>Analyst / Associate</x:v>
      </x:c>
      <x:c r="D149" s="40" t="n">
        <x:v>420.302</x:v>
      </x:c>
      <x:c r="E149" s="40" t="n">
        <x:v>3.91</x:v>
      </x:c>
      <x:c r="F149" s="40" t="n">
        <x:v>3.22</x:v>
      </x:c>
      <x:c r="G149" s="40" t="n">
        <x:v>420.992</x:v>
      </x:c>
      <x:c r="H149" s="44" t="n">
        <x:v>145000</x:v>
      </x:c>
      <x:c r="I149" s="40" t="n">
        <x:v>5.082817916666667</x:v>
      </x:c>
      <x:c r="J149" s="25" t="str">
        <x:v>SYNTHETIC_ASSUMPTION</x:v>
      </x:c>
    </x:row>
    <x:row r="150">
      <x:c r="A150" s="39" t="n">
        <x:v>45778</x:v>
      </x:c>
      <x:c r="B150" s="25" t="str">
        <x:v>Cobrand Partnerships &amp; Business Development</x:v>
      </x:c>
      <x:c r="C150" s="25" t="str">
        <x:v>Manager / Senior Manager</x:v>
      </x:c>
      <x:c r="D150" s="40" t="n">
        <x:v>283.247</x:v>
      </x:c>
      <x:c r="E150" s="40" t="n">
        <x:v>2.635</x:v>
      </x:c>
      <x:c r="F150" s="40" t="n">
        <x:v>2.17</x:v>
      </x:c>
      <x:c r="G150" s="40" t="n">
        <x:v>283.712</x:v>
      </x:c>
      <x:c r="H150" s="44" t="n">
        <x:v>205000</x:v>
      </x:c>
      <x:c r="I150" s="40" t="n">
        <x:v>4.842774791666667</x:v>
      </x:c>
      <x:c r="J150" s="25" t="str">
        <x:v>SYNTHETIC_ASSUMPTION</x:v>
      </x:c>
    </x:row>
    <x:row r="151">
      <x:c r="A151" s="39" t="n">
        <x:v>45778</x:v>
      </x:c>
      <x:c r="B151" s="25" t="str">
        <x:v>Cobrand Partnerships &amp; Business Development</x:v>
      </x:c>
      <x:c r="C151" s="25" t="str">
        <x:v>Director</x:v>
      </x:c>
      <x:c r="D151" s="40" t="n">
        <x:v>155.329</x:v>
      </x:c>
      <x:c r="E151" s="40" t="n">
        <x:v>1.445</x:v>
      </x:c>
      <x:c r="F151" s="40" t="n">
        <x:v>1.1900000000000002</x:v>
      </x:c>
      <x:c r="G151" s="40" t="n">
        <x:v>155.58400000000003</x:v>
      </x:c>
      <x:c r="H151" s="44" t="n">
        <x:v>285000</x:v>
      </x:c>
      <x:c r="I151" s="40" t="n">
        <x:v>3.692091875</x:v>
      </x:c>
      <x:c r="J151" s="25" t="str">
        <x:v>SYNTHETIC_ASSUMPTION</x:v>
      </x:c>
    </x:row>
    <x:row r="152">
      <x:c r="A152" s="39" t="n">
        <x:v>45778</x:v>
      </x:c>
      <x:c r="B152" s="25" t="str">
        <x:v>Cobrand Partnerships &amp; Business Development</x:v>
      </x:c>
      <x:c r="C152" s="25" t="str">
        <x:v>VP+</x:v>
      </x:c>
      <x:c r="D152" s="40" t="n">
        <x:v>54.822</x:v>
      </x:c>
      <x:c r="E152" s="40" t="n">
        <x:v>0.51</x:v>
      </x:c>
      <x:c r="F152" s="40" t="n">
        <x:v>0.42</x:v>
      </x:c>
      <x:c r="G152" s="40" t="n">
        <x:v>54.912</x:v>
      </x:c>
      <x:c r="H152" s="44" t="n">
        <x:v>430000</x:v>
      </x:c>
      <x:c r="I152" s="40" t="n">
        <x:v>1.9660675</x:v>
      </x:c>
      <x:c r="J152" s="25" t="str">
        <x:v>SYNTHETIC_ASSUMPTION</x:v>
      </x:c>
    </x:row>
    <x:row r="153">
      <x:c r="A153" s="39" t="n">
        <x:v>45778</x:v>
      </x:c>
      <x:c r="B153" s="25" t="str">
        <x:v>U.S. Consumer Marketing &amp; Acquisition</x:v>
      </x:c>
      <x:c r="C153" s="25" t="str">
        <x:v>Analyst / Associate</x:v>
      </x:c>
      <x:c r="D153" s="40" t="n">
        <x:v>504.36240000000004</x:v>
      </x:c>
      <x:c r="E153" s="40" t="n">
        <x:v>4.692</x:v>
      </x:c>
      <x:c r="F153" s="40" t="n">
        <x:v>3.8640000000000003</x:v>
      </x:c>
      <x:c r="G153" s="40" t="n">
        <x:v>505.1904</x:v>
      </x:c>
      <x:c r="H153" s="44" t="n">
        <x:v>145000</x:v>
      </x:c>
      <x:c r="I153" s="40" t="n">
        <x:v>6.0993815</x:v>
      </x:c>
      <x:c r="J153" s="25" t="str">
        <x:v>SYNTHETIC_ASSUMPTION</x:v>
      </x:c>
    </x:row>
    <x:row r="154">
      <x:c r="A154" s="39" t="n">
        <x:v>45778</x:v>
      </x:c>
      <x:c r="B154" s="25" t="str">
        <x:v>U.S. Consumer Marketing &amp; Acquisition</x:v>
      </x:c>
      <x:c r="C154" s="25" t="str">
        <x:v>Manager / Senior Manager</x:v>
      </x:c>
      <x:c r="D154" s="40" t="n">
        <x:v>339.8964</x:v>
      </x:c>
      <x:c r="E154" s="40" t="n">
        <x:v>3.162</x:v>
      </x:c>
      <x:c r="F154" s="40" t="n">
        <x:v>2.604</x:v>
      </x:c>
      <x:c r="G154" s="40" t="n">
        <x:v>340.4544</x:v>
      </x:c>
      <x:c r="H154" s="44" t="n">
        <x:v>205000</x:v>
      </x:c>
      <x:c r="I154" s="40" t="n">
        <x:v>5.81132975</x:v>
      </x:c>
      <x:c r="J154" s="25" t="str">
        <x:v>SYNTHETIC_ASSUMPTION</x:v>
      </x:c>
    </x:row>
    <x:row r="155">
      <x:c r="A155" s="39" t="n">
        <x:v>45778</x:v>
      </x:c>
      <x:c r="B155" s="25" t="str">
        <x:v>U.S. Consumer Marketing &amp; Acquisition</x:v>
      </x:c>
      <x:c r="C155" s="25" t="str">
        <x:v>Director</x:v>
      </x:c>
      <x:c r="D155" s="40" t="n">
        <x:v>186.39480000000003</x:v>
      </x:c>
      <x:c r="E155" s="40" t="n">
        <x:v>1.734</x:v>
      </x:c>
      <x:c r="F155" s="40" t="n">
        <x:v>1.4280000000000002</x:v>
      </x:c>
      <x:c r="G155" s="40" t="n">
        <x:v>186.70080000000002</x:v>
      </x:c>
      <x:c r="H155" s="44" t="n">
        <x:v>285000</x:v>
      </x:c>
      <x:c r="I155" s="40" t="n">
        <x:v>4.43051025</x:v>
      </x:c>
      <x:c r="J155" s="25" t="str">
        <x:v>SYNTHETIC_ASSUMPTION</x:v>
      </x:c>
    </x:row>
    <x:row r="156">
      <x:c r="A156" s="39" t="n">
        <x:v>45778</x:v>
      </x:c>
      <x:c r="B156" s="25" t="str">
        <x:v>U.S. Consumer Marketing &amp; Acquisition</x:v>
      </x:c>
      <x:c r="C156" s="25" t="str">
        <x:v>VP+</x:v>
      </x:c>
      <x:c r="D156" s="40" t="n">
        <x:v>65.7864</x:v>
      </x:c>
      <x:c r="E156" s="40" t="n">
        <x:v>0.612</x:v>
      </x:c>
      <x:c r="F156" s="40" t="n">
        <x:v>0.504</x:v>
      </x:c>
      <x:c r="G156" s="40" t="n">
        <x:v>65.8944</x:v>
      </x:c>
      <x:c r="H156" s="44" t="n">
        <x:v>430000</x:v>
      </x:c>
      <x:c r="I156" s="40" t="n">
        <x:v>2.3592809999999997</x:v>
      </x:c>
      <x:c r="J156" s="25" t="str">
        <x:v>SYNTHETIC_ASSUMPTION</x:v>
      </x:c>
    </x:row>
    <x:row r="157">
      <x:c r="A157" s="39" t="n">
        <x:v>45778</x:v>
      </x:c>
      <x:c r="B157" s="25" t="str">
        <x:v>Product, Data &amp; Technology</x:v>
      </x:c>
      <x:c r="C157" s="25" t="str">
        <x:v>Analyst / Associate</x:v>
      </x:c>
      <x:c r="D157" s="40" t="n">
        <x:v>756.5436</x:v>
      </x:c>
      <x:c r="E157" s="40" t="n">
        <x:v>7.038</x:v>
      </x:c>
      <x:c r="F157" s="40" t="n">
        <x:v>5.796</x:v>
      </x:c>
      <x:c r="G157" s="40" t="n">
        <x:v>757.7855999999999</x:v>
      </x:c>
      <x:c r="H157" s="44" t="n">
        <x:v>145000</x:v>
      </x:c>
      <x:c r="I157" s="40" t="n">
        <x:v>9.149072250000001</x:v>
      </x:c>
      <x:c r="J157" s="25" t="str">
        <x:v>SYNTHETIC_ASSUMPTION</x:v>
      </x:c>
    </x:row>
    <x:row r="158">
      <x:c r="A158" s="39" t="n">
        <x:v>45778</x:v>
      </x:c>
      <x:c r="B158" s="25" t="str">
        <x:v>Product, Data &amp; Technology</x:v>
      </x:c>
      <x:c r="C158" s="25" t="str">
        <x:v>Manager / Senior Manager</x:v>
      </x:c>
      <x:c r="D158" s="40" t="n">
        <x:v>509.84459999999996</x:v>
      </x:c>
      <x:c r="E158" s="40" t="n">
        <x:v>4.742999999999999</x:v>
      </x:c>
      <x:c r="F158" s="40" t="n">
        <x:v>3.9059999999999997</x:v>
      </x:c>
      <x:c r="G158" s="40" t="n">
        <x:v>510.68159999999995</x:v>
      </x:c>
      <x:c r="H158" s="44" t="n">
        <x:v>205000</x:v>
      </x:c>
      <x:c r="I158" s="40" t="n">
        <x:v>8.716994625</x:v>
      </x:c>
      <x:c r="J158" s="25" t="str">
        <x:v>SYNTHETIC_ASSUMPTION</x:v>
      </x:c>
    </x:row>
    <x:row r="159">
      <x:c r="A159" s="39" t="n">
        <x:v>45778</x:v>
      </x:c>
      <x:c r="B159" s="25" t="str">
        <x:v>Product, Data &amp; Technology</x:v>
      </x:c>
      <x:c r="C159" s="25" t="str">
        <x:v>Director</x:v>
      </x:c>
      <x:c r="D159" s="40" t="n">
        <x:v>279.5922</x:v>
      </x:c>
      <x:c r="E159" s="40" t="n">
        <x:v>2.601</x:v>
      </x:c>
      <x:c r="F159" s="40" t="n">
        <x:v>2.142</x:v>
      </x:c>
      <x:c r="G159" s="40" t="n">
        <x:v>280.0512</x:v>
      </x:c>
      <x:c r="H159" s="44" t="n">
        <x:v>285000</x:v>
      </x:c>
      <x:c r="I159" s="40" t="n">
        <x:v>6.645765375</x:v>
      </x:c>
      <x:c r="J159" s="25" t="str">
        <x:v>SYNTHETIC_ASSUMPTION</x:v>
      </x:c>
    </x:row>
    <x:row r="160">
      <x:c r="A160" s="39" t="n">
        <x:v>45778</x:v>
      </x:c>
      <x:c r="B160" s="25" t="str">
        <x:v>Product, Data &amp; Technology</x:v>
      </x:c>
      <x:c r="C160" s="25" t="str">
        <x:v>VP+</x:v>
      </x:c>
      <x:c r="D160" s="40" t="n">
        <x:v>98.6796</x:v>
      </x:c>
      <x:c r="E160" s="40" t="n">
        <x:v>0.9179999999999999</x:v>
      </x:c>
      <x:c r="F160" s="40" t="n">
        <x:v>0.756</x:v>
      </x:c>
      <x:c r="G160" s="40" t="n">
        <x:v>98.84159999999999</x:v>
      </x:c>
      <x:c r="H160" s="44" t="n">
        <x:v>430000</x:v>
      </x:c>
      <x:c r="I160" s="40" t="n">
        <x:v>3.5389215</x:v>
      </x:c>
      <x:c r="J160" s="25" t="str">
        <x:v>SYNTHETIC_ASSUMPTION</x:v>
      </x:c>
    </x:row>
    <x:row r="161">
      <x:c r="A161" s="39" t="n">
        <x:v>45778</x:v>
      </x:c>
      <x:c r="B161" s="25" t="str">
        <x:v>Servicing, Operations &amp; Business Support</x:v>
      </x:c>
      <x:c r="C161" s="25" t="str">
        <x:v>Analyst / Associate</x:v>
      </x:c>
      <x:c r="D161" s="40" t="n">
        <x:v>672.4832</x:v>
      </x:c>
      <x:c r="E161" s="40" t="n">
        <x:v>6.256</x:v>
      </x:c>
      <x:c r="F161" s="40" t="n">
        <x:v>5.152000000000001</x:v>
      </x:c>
      <x:c r="G161" s="40" t="n">
        <x:v>673.5872</x:v>
      </x:c>
      <x:c r="H161" s="44" t="n">
        <x:v>145000</x:v>
      </x:c>
      <x:c r="I161" s="40" t="n">
        <x:v>8.132508666666666</x:v>
      </x:c>
      <x:c r="J161" s="25" t="str">
        <x:v>SYNTHETIC_ASSUMPTION</x:v>
      </x:c>
    </x:row>
    <x:row r="162">
      <x:c r="A162" s="39" t="n">
        <x:v>45778</x:v>
      </x:c>
      <x:c r="B162" s="25" t="str">
        <x:v>Servicing, Operations &amp; Business Support</x:v>
      </x:c>
      <x:c r="C162" s="25" t="str">
        <x:v>Manager / Senior Manager</x:v>
      </x:c>
      <x:c r="D162" s="40" t="n">
        <x:v>453.1952</x:v>
      </x:c>
      <x:c r="E162" s="40" t="n">
        <x:v>4.216</x:v>
      </x:c>
      <x:c r="F162" s="40" t="n">
        <x:v>3.4720000000000004</x:v>
      </x:c>
      <x:c r="G162" s="40" t="n">
        <x:v>453.93919999999997</x:v>
      </x:c>
      <x:c r="H162" s="44" t="n">
        <x:v>205000</x:v>
      </x:c>
      <x:c r="I162" s="40" t="n">
        <x:v>7.748439666666667</x:v>
      </x:c>
      <x:c r="J162" s="25" t="str">
        <x:v>SYNTHETIC_ASSUMPTION</x:v>
      </x:c>
    </x:row>
    <x:row r="163">
      <x:c r="A163" s="39" t="n">
        <x:v>45778</x:v>
      </x:c>
      <x:c r="B163" s="25" t="str">
        <x:v>Servicing, Operations &amp; Business Support</x:v>
      </x:c>
      <x:c r="C163" s="25" t="str">
        <x:v>Director</x:v>
      </x:c>
      <x:c r="D163" s="40" t="n">
        <x:v>248.52640000000002</x:v>
      </x:c>
      <x:c r="E163" s="40" t="n">
        <x:v>2.3120000000000003</x:v>
      </x:c>
      <x:c r="F163" s="40" t="n">
        <x:v>1.9040000000000004</x:v>
      </x:c>
      <x:c r="G163" s="40" t="n">
        <x:v>248.9344</x:v>
      </x:c>
      <x:c r="H163" s="44" t="n">
        <x:v>285000</x:v>
      </x:c>
      <x:c r="I163" s="40" t="n">
        <x:v>5.907347000000001</x:v>
      </x:c>
      <x:c r="J163" s="25" t="str">
        <x:v>SYNTHETIC_ASSUMPTION</x:v>
      </x:c>
    </x:row>
    <x:row r="164">
      <x:c r="A164" s="39" t="n">
        <x:v>45778</x:v>
      </x:c>
      <x:c r="B164" s="25" t="str">
        <x:v>Servicing, Operations &amp; Business Support</x:v>
      </x:c>
      <x:c r="C164" s="25" t="str">
        <x:v>VP+</x:v>
      </x:c>
      <x:c r="D164" s="40" t="n">
        <x:v>87.7152</x:v>
      </x:c>
      <x:c r="E164" s="40" t="n">
        <x:v>0.816</x:v>
      </x:c>
      <x:c r="F164" s="40" t="n">
        <x:v>0.672</x:v>
      </x:c>
      <x:c r="G164" s="40" t="n">
        <x:v>87.85919999999999</x:v>
      </x:c>
      <x:c r="H164" s="44" t="n">
        <x:v>430000</x:v>
      </x:c>
      <x:c r="I164" s="40" t="n">
        <x:v>3.145708</x:v>
      </x:c>
      <x:c r="J164" s="25" t="str">
        <x:v>SYNTHETIC_ASSUMPTION</x:v>
      </x:c>
    </x:row>
    <x:row r="165">
      <x:c r="A165" s="39" t="n">
        <x:v>45809</x:v>
      </x:c>
      <x:c r="B165" s="25" t="str">
        <x:v>Consumer Card Products &amp; Portfolio</x:v>
      </x:c>
      <x:c r="C165" s="25" t="str">
        <x:v>Analyst / Associate</x:v>
      </x:c>
      <x:c r="D165" s="40" t="n">
        <x:v>505.1904</x:v>
      </x:c>
      <x:c r="E165" s="40" t="n">
        <x:v>4.140000000000001</x:v>
      </x:c>
      <x:c r="F165" s="40" t="n">
        <x:v>3.9744000000000006</x:v>
      </x:c>
      <x:c r="G165" s="40" t="n">
        <x:v>505.356</x:v>
      </x:c>
      <x:c r="H165" s="44" t="n">
        <x:v>145000</x:v>
      </x:c>
      <x:c r="I165" s="40" t="n">
        <x:v>6.1053845</x:v>
      </x:c>
      <x:c r="J165" s="25" t="str">
        <x:v>SYNTHETIC_ASSUMPTION</x:v>
      </x:c>
    </x:row>
    <x:row r="166">
      <x:c r="A166" s="39" t="n">
        <x:v>45809</x:v>
      </x:c>
      <x:c r="B166" s="25" t="str">
        <x:v>Consumer Card Products &amp; Portfolio</x:v>
      </x:c>
      <x:c r="C166" s="25" t="str">
        <x:v>Manager / Senior Manager</x:v>
      </x:c>
      <x:c r="D166" s="40" t="n">
        <x:v>340.4544</x:v>
      </x:c>
      <x:c r="E166" s="40" t="n">
        <x:v>2.79</x:v>
      </x:c>
      <x:c r="F166" s="40" t="n">
        <x:v>2.6784000000000003</x:v>
      </x:c>
      <x:c r="G166" s="40" t="n">
        <x:v>340.566</x:v>
      </x:c>
      <x:c r="H166" s="44" t="n">
        <x:v>205000</x:v>
      </x:c>
      <x:c r="I166" s="40" t="n">
        <x:v>5.81704925</x:v>
      </x:c>
      <x:c r="J166" s="25" t="str">
        <x:v>SYNTHETIC_ASSUMPTION</x:v>
      </x:c>
    </x:row>
    <x:row r="167">
      <x:c r="A167" s="39" t="n">
        <x:v>45809</x:v>
      </x:c>
      <x:c r="B167" s="25" t="str">
        <x:v>Consumer Card Products &amp; Portfolio</x:v>
      </x:c>
      <x:c r="C167" s="25" t="str">
        <x:v>Director</x:v>
      </x:c>
      <x:c r="D167" s="40" t="n">
        <x:v>186.70080000000002</x:v>
      </x:c>
      <x:c r="E167" s="40" t="n">
        <x:v>1.53</x:v>
      </x:c>
      <x:c r="F167" s="40" t="n">
        <x:v>1.4688</x:v>
      </x:c>
      <x:c r="G167" s="40" t="n">
        <x:v>186.762</x:v>
      </x:c>
      <x:c r="H167" s="44" t="n">
        <x:v>285000</x:v>
      </x:c>
      <x:c r="I167" s="40" t="n">
        <x:v>4.434870750000001</x:v>
      </x:c>
      <x:c r="J167" s="25" t="str">
        <x:v>SYNTHETIC_ASSUMPTION</x:v>
      </x:c>
    </x:row>
    <x:row r="168">
      <x:c r="A168" s="39" t="n">
        <x:v>45809</x:v>
      </x:c>
      <x:c r="B168" s="25" t="str">
        <x:v>Consumer Card Products &amp; Portfolio</x:v>
      </x:c>
      <x:c r="C168" s="25" t="str">
        <x:v>VP+</x:v>
      </x:c>
      <x:c r="D168" s="40" t="n">
        <x:v>65.8944</x:v>
      </x:c>
      <x:c r="E168" s="40" t="n">
        <x:v>0.54</x:v>
      </x:c>
      <x:c r="F168" s="40" t="n">
        <x:v>0.5184</x:v>
      </x:c>
      <x:c r="G168" s="40" t="n">
        <x:v>65.916</x:v>
      </x:c>
      <x:c r="H168" s="44" t="n">
        <x:v>430000</x:v>
      </x:c>
      <x:c r="I168" s="40" t="n">
        <x:v>2.3616030000000006</x:v>
      </x:c>
      <x:c r="J168" s="25" t="str">
        <x:v>SYNTHETIC_ASSUMPTION</x:v>
      </x:c>
    </x:row>
    <x:row r="169">
      <x:c r="A169" s="39" t="n">
        <x:v>45809</x:v>
      </x:c>
      <x:c r="B169" s="25" t="str">
        <x:v>Lending &amp; U.S. Consumer Banking</x:v>
      </x:c>
      <x:c r="C169" s="25" t="str">
        <x:v>Analyst / Associate</x:v>
      </x:c>
      <x:c r="D169" s="40" t="n">
        <x:v>505.1904</x:v>
      </x:c>
      <x:c r="E169" s="40" t="n">
        <x:v>4.140000000000001</x:v>
      </x:c>
      <x:c r="F169" s="40" t="n">
        <x:v>3.9744000000000006</x:v>
      </x:c>
      <x:c r="G169" s="40" t="n">
        <x:v>505.356</x:v>
      </x:c>
      <x:c r="H169" s="44" t="n">
        <x:v>145000</x:v>
      </x:c>
      <x:c r="I169" s="40" t="n">
        <x:v>6.1053845</x:v>
      </x:c>
      <x:c r="J169" s="25" t="str">
        <x:v>SYNTHETIC_ASSUMPTION</x:v>
      </x:c>
    </x:row>
    <x:row r="170">
      <x:c r="A170" s="39" t="n">
        <x:v>45809</x:v>
      </x:c>
      <x:c r="B170" s="25" t="str">
        <x:v>Lending &amp; U.S. Consumer Banking</x:v>
      </x:c>
      <x:c r="C170" s="25" t="str">
        <x:v>Manager / Senior Manager</x:v>
      </x:c>
      <x:c r="D170" s="40" t="n">
        <x:v>340.4544</x:v>
      </x:c>
      <x:c r="E170" s="40" t="n">
        <x:v>2.79</x:v>
      </x:c>
      <x:c r="F170" s="40" t="n">
        <x:v>2.6784000000000003</x:v>
      </x:c>
      <x:c r="G170" s="40" t="n">
        <x:v>340.566</x:v>
      </x:c>
      <x:c r="H170" s="44" t="n">
        <x:v>205000</x:v>
      </x:c>
      <x:c r="I170" s="40" t="n">
        <x:v>5.81704925</x:v>
      </x:c>
      <x:c r="J170" s="25" t="str">
        <x:v>SYNTHETIC_ASSUMPTION</x:v>
      </x:c>
    </x:row>
    <x:row r="171">
      <x:c r="A171" s="39" t="n">
        <x:v>45809</x:v>
      </x:c>
      <x:c r="B171" s="25" t="str">
        <x:v>Lending &amp; U.S. Consumer Banking</x:v>
      </x:c>
      <x:c r="C171" s="25" t="str">
        <x:v>Director</x:v>
      </x:c>
      <x:c r="D171" s="40" t="n">
        <x:v>186.70080000000002</x:v>
      </x:c>
      <x:c r="E171" s="40" t="n">
        <x:v>1.53</x:v>
      </x:c>
      <x:c r="F171" s="40" t="n">
        <x:v>1.4688</x:v>
      </x:c>
      <x:c r="G171" s="40" t="n">
        <x:v>186.762</x:v>
      </x:c>
      <x:c r="H171" s="44" t="n">
        <x:v>285000</x:v>
      </x:c>
      <x:c r="I171" s="40" t="n">
        <x:v>4.434870750000001</x:v>
      </x:c>
      <x:c r="J171" s="25" t="str">
        <x:v>SYNTHETIC_ASSUMPTION</x:v>
      </x:c>
    </x:row>
    <x:row r="172">
      <x:c r="A172" s="39" t="n">
        <x:v>45809</x:v>
      </x:c>
      <x:c r="B172" s="25" t="str">
        <x:v>Lending &amp; U.S. Consumer Banking</x:v>
      </x:c>
      <x:c r="C172" s="25" t="str">
        <x:v>VP+</x:v>
      </x:c>
      <x:c r="D172" s="40" t="n">
        <x:v>65.8944</x:v>
      </x:c>
      <x:c r="E172" s="40" t="n">
        <x:v>0.54</x:v>
      </x:c>
      <x:c r="F172" s="40" t="n">
        <x:v>0.5184</x:v>
      </x:c>
      <x:c r="G172" s="40" t="n">
        <x:v>65.916</x:v>
      </x:c>
      <x:c r="H172" s="44" t="n">
        <x:v>430000</x:v>
      </x:c>
      <x:c r="I172" s="40" t="n">
        <x:v>2.3616030000000006</x:v>
      </x:c>
      <x:c r="J172" s="25" t="str">
        <x:v>SYNTHETIC_ASSUMPTION</x:v>
      </x:c>
    </x:row>
    <x:row r="173">
      <x:c r="A173" s="39" t="n">
        <x:v>45809</x:v>
      </x:c>
      <x:c r="B173" s="25" t="str">
        <x:v>Membership Rewards &amp; Card Member Benefits</x:v>
      </x:c>
      <x:c r="C173" s="25" t="str">
        <x:v>Analyst / Associate</x:v>
      </x:c>
      <x:c r="D173" s="40" t="n">
        <x:v>505.1904</x:v>
      </x:c>
      <x:c r="E173" s="40" t="n">
        <x:v>4.140000000000001</x:v>
      </x:c>
      <x:c r="F173" s="40" t="n">
        <x:v>3.9744000000000006</x:v>
      </x:c>
      <x:c r="G173" s="40" t="n">
        <x:v>505.356</x:v>
      </x:c>
      <x:c r="H173" s="44" t="n">
        <x:v>145000</x:v>
      </x:c>
      <x:c r="I173" s="40" t="n">
        <x:v>6.1053845</x:v>
      </x:c>
      <x:c r="J173" s="25" t="str">
        <x:v>SYNTHETIC_ASSUMPTION</x:v>
      </x:c>
    </x:row>
    <x:row r="174">
      <x:c r="A174" s="39" t="n">
        <x:v>45809</x:v>
      </x:c>
      <x:c r="B174" s="25" t="str">
        <x:v>Membership Rewards &amp; Card Member Benefits</x:v>
      </x:c>
      <x:c r="C174" s="25" t="str">
        <x:v>Manager / Senior Manager</x:v>
      </x:c>
      <x:c r="D174" s="40" t="n">
        <x:v>340.4544</x:v>
      </x:c>
      <x:c r="E174" s="40" t="n">
        <x:v>2.79</x:v>
      </x:c>
      <x:c r="F174" s="40" t="n">
        <x:v>2.6784000000000003</x:v>
      </x:c>
      <x:c r="G174" s="40" t="n">
        <x:v>340.566</x:v>
      </x:c>
      <x:c r="H174" s="44" t="n">
        <x:v>205000</x:v>
      </x:c>
      <x:c r="I174" s="40" t="n">
        <x:v>5.81704925</x:v>
      </x:c>
      <x:c r="J174" s="25" t="str">
        <x:v>SYNTHETIC_ASSUMPTION</x:v>
      </x:c>
    </x:row>
    <x:row r="175">
      <x:c r="A175" s="39" t="n">
        <x:v>45809</x:v>
      </x:c>
      <x:c r="B175" s="25" t="str">
        <x:v>Membership Rewards &amp; Card Member Benefits</x:v>
      </x:c>
      <x:c r="C175" s="25" t="str">
        <x:v>Director</x:v>
      </x:c>
      <x:c r="D175" s="40" t="n">
        <x:v>186.70080000000002</x:v>
      </x:c>
      <x:c r="E175" s="40" t="n">
        <x:v>1.53</x:v>
      </x:c>
      <x:c r="F175" s="40" t="n">
        <x:v>1.4688</x:v>
      </x:c>
      <x:c r="G175" s="40" t="n">
        <x:v>186.762</x:v>
      </x:c>
      <x:c r="H175" s="44" t="n">
        <x:v>285000</x:v>
      </x:c>
      <x:c r="I175" s="40" t="n">
        <x:v>4.434870750000001</x:v>
      </x:c>
      <x:c r="J175" s="25" t="str">
        <x:v>SYNTHETIC_ASSUMPTION</x:v>
      </x:c>
    </x:row>
    <x:row r="176">
      <x:c r="A176" s="39" t="n">
        <x:v>45809</x:v>
      </x:c>
      <x:c r="B176" s="25" t="str">
        <x:v>Membership Rewards &amp; Card Member Benefits</x:v>
      </x:c>
      <x:c r="C176" s="25" t="str">
        <x:v>VP+</x:v>
      </x:c>
      <x:c r="D176" s="40" t="n">
        <x:v>65.8944</x:v>
      </x:c>
      <x:c r="E176" s="40" t="n">
        <x:v>0.54</x:v>
      </x:c>
      <x:c r="F176" s="40" t="n">
        <x:v>0.5184</x:v>
      </x:c>
      <x:c r="G176" s="40" t="n">
        <x:v>65.916</x:v>
      </x:c>
      <x:c r="H176" s="44" t="n">
        <x:v>430000</x:v>
      </x:c>
      <x:c r="I176" s="40" t="n">
        <x:v>2.3616030000000006</x:v>
      </x:c>
      <x:c r="J176" s="25" t="str">
        <x:v>SYNTHETIC_ASSUMPTION</x:v>
      </x:c>
    </x:row>
    <x:row r="177">
      <x:c r="A177" s="39" t="n">
        <x:v>45809</x:v>
      </x:c>
      <x:c r="B177" s="25" t="str">
        <x:v>Travel, Lifestyle, Dining &amp; Lounges</x:v>
      </x:c>
      <x:c r="C177" s="25" t="str">
        <x:v>Analyst / Associate</x:v>
      </x:c>
      <x:c r="D177" s="40" t="n">
        <x:v>336.7936</x:v>
      </x:c>
      <x:c r="E177" s="40" t="n">
        <x:v>2.7600000000000002</x:v>
      </x:c>
      <x:c r="F177" s="40" t="n">
        <x:v>2.6496</x:v>
      </x:c>
      <x:c r="G177" s="40" t="n">
        <x:v>336.904</x:v>
      </x:c>
      <x:c r="H177" s="44" t="n">
        <x:v>145000</x:v>
      </x:c>
      <x:c r="I177" s="40" t="n">
        <x:v>4.070256333333334</x:v>
      </x:c>
      <x:c r="J177" s="25" t="str">
        <x:v>SYNTHETIC_ASSUMPTION</x:v>
      </x:c>
    </x:row>
    <x:row r="178">
      <x:c r="A178" s="39" t="n">
        <x:v>45809</x:v>
      </x:c>
      <x:c r="B178" s="25" t="str">
        <x:v>Travel, Lifestyle, Dining &amp; Lounges</x:v>
      </x:c>
      <x:c r="C178" s="25" t="str">
        <x:v>Manager / Senior Manager</x:v>
      </x:c>
      <x:c r="D178" s="40" t="n">
        <x:v>226.96959999999999</x:v>
      </x:c>
      <x:c r="E178" s="40" t="n">
        <x:v>1.8599999999999999</x:v>
      </x:c>
      <x:c r="F178" s="40" t="n">
        <x:v>1.7855999999999999</x:v>
      </x:c>
      <x:c r="G178" s="40" t="n">
        <x:v>227.04399999999998</x:v>
      </x:c>
      <x:c r="H178" s="44" t="n">
        <x:v>205000</x:v>
      </x:c>
      <x:c r="I178" s="40" t="n">
        <x:v>3.8780328333333336</x:v>
      </x:c>
      <x:c r="J178" s="25" t="str">
        <x:v>SYNTHETIC_ASSUMPTION</x:v>
      </x:c>
    </x:row>
    <x:row r="179">
      <x:c r="A179" s="39" t="n">
        <x:v>45809</x:v>
      </x:c>
      <x:c r="B179" s="25" t="str">
        <x:v>Travel, Lifestyle, Dining &amp; Lounges</x:v>
      </x:c>
      <x:c r="C179" s="25" t="str">
        <x:v>Director</x:v>
      </x:c>
      <x:c r="D179" s="40" t="n">
        <x:v>124.4672</x:v>
      </x:c>
      <x:c r="E179" s="40" t="n">
        <x:v>1.02</x:v>
      </x:c>
      <x:c r="F179" s="40" t="n">
        <x:v>0.9792000000000001</x:v>
      </x:c>
      <x:c r="G179" s="40" t="n">
        <x:v>124.50800000000001</x:v>
      </x:c>
      <x:c r="H179" s="44" t="n">
        <x:v>285000</x:v>
      </x:c>
      <x:c r="I179" s="40" t="n">
        <x:v>2.9565805</x:v>
      </x:c>
      <x:c r="J179" s="25" t="str">
        <x:v>SYNTHETIC_ASSUMPTION</x:v>
      </x:c>
    </x:row>
    <x:row r="180">
      <x:c r="A180" s="39" t="n">
        <x:v>45809</x:v>
      </x:c>
      <x:c r="B180" s="25" t="str">
        <x:v>Travel, Lifestyle, Dining &amp; Lounges</x:v>
      </x:c>
      <x:c r="C180" s="25" t="str">
        <x:v>VP+</x:v>
      </x:c>
      <x:c r="D180" s="40" t="n">
        <x:v>43.92959999999999</x:v>
      </x:c>
      <x:c r="E180" s="40" t="n">
        <x:v>0.36</x:v>
      </x:c>
      <x:c r="F180" s="40" t="n">
        <x:v>0.34559999999999996</x:v>
      </x:c>
      <x:c r="G180" s="40" t="n">
        <x:v>43.943999999999996</x:v>
      </x:c>
      <x:c r="H180" s="44" t="n">
        <x:v>430000</x:v>
      </x:c>
      <x:c r="I180" s="40" t="n">
        <x:v>1.574402</x:v>
      </x:c>
      <x:c r="J180" s="25" t="str">
        <x:v>SYNTHETIC_ASSUMPTION</x:v>
      </x:c>
    </x:row>
    <x:row r="181">
      <x:c r="A181" s="39" t="n">
        <x:v>45809</x:v>
      </x:c>
      <x:c r="B181" s="25" t="str">
        <x:v>Cobrand Partnerships &amp; Business Development</x:v>
      </x:c>
      <x:c r="C181" s="25" t="str">
        <x:v>Analyst / Associate</x:v>
      </x:c>
      <x:c r="D181" s="40" t="n">
        <x:v>420.992</x:v>
      </x:c>
      <x:c r="E181" s="40" t="n">
        <x:v>3.45</x:v>
      </x:c>
      <x:c r="F181" s="40" t="n">
        <x:v>3.3120000000000003</x:v>
      </x:c>
      <x:c r="G181" s="40" t="n">
        <x:v>421.13</x:v>
      </x:c>
      <x:c r="H181" s="44" t="n">
        <x:v>145000</x:v>
      </x:c>
      <x:c r="I181" s="40" t="n">
        <x:v>5.087820416666667</x:v>
      </x:c>
      <x:c r="J181" s="25" t="str">
        <x:v>SYNTHETIC_ASSUMPTION</x:v>
      </x:c>
    </x:row>
    <x:row r="182">
      <x:c r="A182" s="39" t="n">
        <x:v>45809</x:v>
      </x:c>
      <x:c r="B182" s="25" t="str">
        <x:v>Cobrand Partnerships &amp; Business Development</x:v>
      </x:c>
      <x:c r="C182" s="25" t="str">
        <x:v>Manager / Senior Manager</x:v>
      </x:c>
      <x:c r="D182" s="40" t="n">
        <x:v>283.712</x:v>
      </x:c>
      <x:c r="E182" s="40" t="n">
        <x:v>2.325</x:v>
      </x:c>
      <x:c r="F182" s="40" t="n">
        <x:v>2.232</x:v>
      </x:c>
      <x:c r="G182" s="40" t="n">
        <x:v>283.805</x:v>
      </x:c>
      <x:c r="H182" s="44" t="n">
        <x:v>205000</x:v>
      </x:c>
      <x:c r="I182" s="40" t="n">
        <x:v>4.847541041666667</x:v>
      </x:c>
      <x:c r="J182" s="25" t="str">
        <x:v>SYNTHETIC_ASSUMPTION</x:v>
      </x:c>
    </x:row>
    <x:row r="183">
      <x:c r="A183" s="39" t="n">
        <x:v>45809</x:v>
      </x:c>
      <x:c r="B183" s="25" t="str">
        <x:v>Cobrand Partnerships &amp; Business Development</x:v>
      </x:c>
      <x:c r="C183" s="25" t="str">
        <x:v>Director</x:v>
      </x:c>
      <x:c r="D183" s="40" t="n">
        <x:v>155.58400000000003</x:v>
      </x:c>
      <x:c r="E183" s="40" t="n">
        <x:v>1.2750000000000001</x:v>
      </x:c>
      <x:c r="F183" s="40" t="n">
        <x:v>1.2240000000000002</x:v>
      </x:c>
      <x:c r="G183" s="40" t="n">
        <x:v>155.63500000000002</x:v>
      </x:c>
      <x:c r="H183" s="44" t="n">
        <x:v>285000</x:v>
      </x:c>
      <x:c r="I183" s="40" t="n">
        <x:v>3.6957256250000006</x:v>
      </x:c>
      <x:c r="J183" s="25" t="str">
        <x:v>SYNTHETIC_ASSUMPTION</x:v>
      </x:c>
    </x:row>
    <x:row r="184">
      <x:c r="A184" s="39" t="n">
        <x:v>45809</x:v>
      </x:c>
      <x:c r="B184" s="25" t="str">
        <x:v>Cobrand Partnerships &amp; Business Development</x:v>
      </x:c>
      <x:c r="C184" s="25" t="str">
        <x:v>VP+</x:v>
      </x:c>
      <x:c r="D184" s="40" t="n">
        <x:v>54.912</x:v>
      </x:c>
      <x:c r="E184" s="40" t="n">
        <x:v>0.44999999999999996</x:v>
      </x:c>
      <x:c r="F184" s="40" t="n">
        <x:v>0.432</x:v>
      </x:c>
      <x:c r="G184" s="40" t="n">
        <x:v>54.93</x:v>
      </x:c>
      <x:c r="H184" s="44" t="n">
        <x:v>430000</x:v>
      </x:c>
      <x:c r="I184" s="40" t="n">
        <x:v>1.9680025</x:v>
      </x:c>
      <x:c r="J184" s="25" t="str">
        <x:v>SYNTHETIC_ASSUMPTION</x:v>
      </x:c>
    </x:row>
    <x:row r="185">
      <x:c r="A185" s="39" t="n">
        <x:v>45809</x:v>
      </x:c>
      <x:c r="B185" s="25" t="str">
        <x:v>U.S. Consumer Marketing &amp; Acquisition</x:v>
      </x:c>
      <x:c r="C185" s="25" t="str">
        <x:v>Analyst / Associate</x:v>
      </x:c>
      <x:c r="D185" s="40" t="n">
        <x:v>505.1904</x:v>
      </x:c>
      <x:c r="E185" s="40" t="n">
        <x:v>4.140000000000001</x:v>
      </x:c>
      <x:c r="F185" s="40" t="n">
        <x:v>3.9744000000000006</x:v>
      </x:c>
      <x:c r="G185" s="40" t="n">
        <x:v>505.356</x:v>
      </x:c>
      <x:c r="H185" s="44" t="n">
        <x:v>145000</x:v>
      </x:c>
      <x:c r="I185" s="40" t="n">
        <x:v>6.1053845</x:v>
      </x:c>
      <x:c r="J185" s="25" t="str">
        <x:v>SYNTHETIC_ASSUMPTION</x:v>
      </x:c>
    </x:row>
    <x:row r="186">
      <x:c r="A186" s="39" t="n">
        <x:v>45809</x:v>
      </x:c>
      <x:c r="B186" s="25" t="str">
        <x:v>U.S. Consumer Marketing &amp; Acquisition</x:v>
      </x:c>
      <x:c r="C186" s="25" t="str">
        <x:v>Manager / Senior Manager</x:v>
      </x:c>
      <x:c r="D186" s="40" t="n">
        <x:v>340.4544</x:v>
      </x:c>
      <x:c r="E186" s="40" t="n">
        <x:v>2.79</x:v>
      </x:c>
      <x:c r="F186" s="40" t="n">
        <x:v>2.6784000000000003</x:v>
      </x:c>
      <x:c r="G186" s="40" t="n">
        <x:v>340.566</x:v>
      </x:c>
      <x:c r="H186" s="44" t="n">
        <x:v>205000</x:v>
      </x:c>
      <x:c r="I186" s="40" t="n">
        <x:v>5.81704925</x:v>
      </x:c>
      <x:c r="J186" s="25" t="str">
        <x:v>SYNTHETIC_ASSUMPTION</x:v>
      </x:c>
    </x:row>
    <x:row r="187">
      <x:c r="A187" s="39" t="n">
        <x:v>45809</x:v>
      </x:c>
      <x:c r="B187" s="25" t="str">
        <x:v>U.S. Consumer Marketing &amp; Acquisition</x:v>
      </x:c>
      <x:c r="C187" s="25" t="str">
        <x:v>Director</x:v>
      </x:c>
      <x:c r="D187" s="40" t="n">
        <x:v>186.70080000000002</x:v>
      </x:c>
      <x:c r="E187" s="40" t="n">
        <x:v>1.53</x:v>
      </x:c>
      <x:c r="F187" s="40" t="n">
        <x:v>1.4688</x:v>
      </x:c>
      <x:c r="G187" s="40" t="n">
        <x:v>186.762</x:v>
      </x:c>
      <x:c r="H187" s="44" t="n">
        <x:v>285000</x:v>
      </x:c>
      <x:c r="I187" s="40" t="n">
        <x:v>4.434870750000001</x:v>
      </x:c>
      <x:c r="J187" s="25" t="str">
        <x:v>SYNTHETIC_ASSUMPTION</x:v>
      </x:c>
    </x:row>
    <x:row r="188">
      <x:c r="A188" s="39" t="n">
        <x:v>45809</x:v>
      </x:c>
      <x:c r="B188" s="25" t="str">
        <x:v>U.S. Consumer Marketing &amp; Acquisition</x:v>
      </x:c>
      <x:c r="C188" s="25" t="str">
        <x:v>VP+</x:v>
      </x:c>
      <x:c r="D188" s="40" t="n">
        <x:v>65.8944</x:v>
      </x:c>
      <x:c r="E188" s="40" t="n">
        <x:v>0.54</x:v>
      </x:c>
      <x:c r="F188" s="40" t="n">
        <x:v>0.5184</x:v>
      </x:c>
      <x:c r="G188" s="40" t="n">
        <x:v>65.916</x:v>
      </x:c>
      <x:c r="H188" s="44" t="n">
        <x:v>430000</x:v>
      </x:c>
      <x:c r="I188" s="40" t="n">
        <x:v>2.3616030000000006</x:v>
      </x:c>
      <x:c r="J188" s="25" t="str">
        <x:v>SYNTHETIC_ASSUMPTION</x:v>
      </x:c>
    </x:row>
    <x:row r="189">
      <x:c r="A189" s="39" t="n">
        <x:v>45809</x:v>
      </x:c>
      <x:c r="B189" s="25" t="str">
        <x:v>Product, Data &amp; Technology</x:v>
      </x:c>
      <x:c r="C189" s="25" t="str">
        <x:v>Analyst / Associate</x:v>
      </x:c>
      <x:c r="D189" s="40" t="n">
        <x:v>757.7855999999999</x:v>
      </x:c>
      <x:c r="E189" s="40" t="n">
        <x:v>6.21</x:v>
      </x:c>
      <x:c r="F189" s="40" t="n">
        <x:v>5.9616</x:v>
      </x:c>
      <x:c r="G189" s="40" t="n">
        <x:v>758.034</x:v>
      </x:c>
      <x:c r="H189" s="44" t="n">
        <x:v>145000</x:v>
      </x:c>
      <x:c r="I189" s="40" t="n">
        <x:v>9.15807675</x:v>
      </x:c>
      <x:c r="J189" s="25" t="str">
        <x:v>SYNTHETIC_ASSUMPTION</x:v>
      </x:c>
    </x:row>
    <x:row r="190">
      <x:c r="A190" s="39" t="n">
        <x:v>45809</x:v>
      </x:c>
      <x:c r="B190" s="25" t="str">
        <x:v>Product, Data &amp; Technology</x:v>
      </x:c>
      <x:c r="C190" s="25" t="str">
        <x:v>Manager / Senior Manager</x:v>
      </x:c>
      <x:c r="D190" s="40" t="n">
        <x:v>510.68159999999995</x:v>
      </x:c>
      <x:c r="E190" s="40" t="n">
        <x:v>4.185</x:v>
      </x:c>
      <x:c r="F190" s="40" t="n">
        <x:v>4.0176</x:v>
      </x:c>
      <x:c r="G190" s="40" t="n">
        <x:v>510.84899999999993</x:v>
      </x:c>
      <x:c r="H190" s="44" t="n">
        <x:v>205000</x:v>
      </x:c>
      <x:c r="I190" s="40" t="n">
        <x:v>8.725573875</x:v>
      </x:c>
      <x:c r="J190" s="25" t="str">
        <x:v>SYNTHETIC_ASSUMPTION</x:v>
      </x:c>
    </x:row>
    <x:row r="191">
      <x:c r="A191" s="39" t="n">
        <x:v>45809</x:v>
      </x:c>
      <x:c r="B191" s="25" t="str">
        <x:v>Product, Data &amp; Technology</x:v>
      </x:c>
      <x:c r="C191" s="25" t="str">
        <x:v>Director</x:v>
      </x:c>
      <x:c r="D191" s="40" t="n">
        <x:v>280.0512</x:v>
      </x:c>
      <x:c r="E191" s="40" t="n">
        <x:v>2.2950000000000004</x:v>
      </x:c>
      <x:c r="F191" s="40" t="n">
        <x:v>2.2032</x:v>
      </x:c>
      <x:c r="G191" s="40" t="n">
        <x:v>280.143</x:v>
      </x:c>
      <x:c r="H191" s="44" t="n">
        <x:v>285000</x:v>
      </x:c>
      <x:c r="I191" s="40" t="n">
        <x:v>6.652306125</x:v>
      </x:c>
      <x:c r="J191" s="25" t="str">
        <x:v>SYNTHETIC_ASSUMPTION</x:v>
      </x:c>
    </x:row>
    <x:row r="192">
      <x:c r="A192" s="39" t="n">
        <x:v>45809</x:v>
      </x:c>
      <x:c r="B192" s="25" t="str">
        <x:v>Product, Data &amp; Technology</x:v>
      </x:c>
      <x:c r="C192" s="25" t="str">
        <x:v>VP+</x:v>
      </x:c>
      <x:c r="D192" s="40" t="n">
        <x:v>98.84159999999999</x:v>
      </x:c>
      <x:c r="E192" s="40" t="n">
        <x:v>0.8099999999999999</x:v>
      </x:c>
      <x:c r="F192" s="40" t="n">
        <x:v>0.7776</x:v>
      </x:c>
      <x:c r="G192" s="40" t="n">
        <x:v>98.874</x:v>
      </x:c>
      <x:c r="H192" s="44" t="n">
        <x:v>430000</x:v>
      </x:c>
      <x:c r="I192" s="40" t="n">
        <x:v>3.5424044999999995</x:v>
      </x:c>
      <x:c r="J192" s="25" t="str">
        <x:v>SYNTHETIC_ASSUMPTION</x:v>
      </x:c>
    </x:row>
    <x:row r="193">
      <x:c r="A193" s="39" t="n">
        <x:v>45809</x:v>
      </x:c>
      <x:c r="B193" s="25" t="str">
        <x:v>Servicing, Operations &amp; Business Support</x:v>
      </x:c>
      <x:c r="C193" s="25" t="str">
        <x:v>Analyst / Associate</x:v>
      </x:c>
      <x:c r="D193" s="40" t="n">
        <x:v>673.5872</x:v>
      </x:c>
      <x:c r="E193" s="40" t="n">
        <x:v>5.5200000000000005</x:v>
      </x:c>
      <x:c r="F193" s="40" t="n">
        <x:v>5.2992</x:v>
      </x:c>
      <x:c r="G193" s="40" t="n">
        <x:v>673.808</x:v>
      </x:c>
      <x:c r="H193" s="44" t="n">
        <x:v>145000</x:v>
      </x:c>
      <x:c r="I193" s="40" t="n">
        <x:v>8.140512666666668</x:v>
      </x:c>
      <x:c r="J193" s="25" t="str">
        <x:v>SYNTHETIC_ASSUMPTION</x:v>
      </x:c>
    </x:row>
    <x:row r="194">
      <x:c r="A194" s="39" t="n">
        <x:v>45809</x:v>
      </x:c>
      <x:c r="B194" s="25" t="str">
        <x:v>Servicing, Operations &amp; Business Support</x:v>
      </x:c>
      <x:c r="C194" s="25" t="str">
        <x:v>Manager / Senior Manager</x:v>
      </x:c>
      <x:c r="D194" s="40" t="n">
        <x:v>453.93919999999997</x:v>
      </x:c>
      <x:c r="E194" s="40" t="n">
        <x:v>3.7199999999999998</x:v>
      </x:c>
      <x:c r="F194" s="40" t="n">
        <x:v>3.5711999999999997</x:v>
      </x:c>
      <x:c r="G194" s="40" t="n">
        <x:v>454.08799999999997</x:v>
      </x:c>
      <x:c r="H194" s="44" t="n">
        <x:v>205000</x:v>
      </x:c>
      <x:c r="I194" s="40" t="n">
        <x:v>7.756065666666667</x:v>
      </x:c>
      <x:c r="J194" s="25" t="str">
        <x:v>SYNTHETIC_ASSUMPTION</x:v>
      </x:c>
    </x:row>
    <x:row r="195">
      <x:c r="A195" s="39" t="n">
        <x:v>45809</x:v>
      </x:c>
      <x:c r="B195" s="25" t="str">
        <x:v>Servicing, Operations &amp; Business Support</x:v>
      </x:c>
      <x:c r="C195" s="25" t="str">
        <x:v>Director</x:v>
      </x:c>
      <x:c r="D195" s="40" t="n">
        <x:v>248.9344</x:v>
      </x:c>
      <x:c r="E195" s="40" t="n">
        <x:v>2.04</x:v>
      </x:c>
      <x:c r="F195" s="40" t="n">
        <x:v>1.9584000000000001</x:v>
      </x:c>
      <x:c r="G195" s="40" t="n">
        <x:v>249.01600000000002</x:v>
      </x:c>
      <x:c r="H195" s="44" t="n">
        <x:v>285000</x:v>
      </x:c>
      <x:c r="I195" s="40" t="n">
        <x:v>5.913161</x:v>
      </x:c>
      <x:c r="J195" s="25" t="str">
        <x:v>SYNTHETIC_ASSUMPTION</x:v>
      </x:c>
    </x:row>
    <x:row r="196">
      <x:c r="A196" s="39" t="n">
        <x:v>45809</x:v>
      </x:c>
      <x:c r="B196" s="25" t="str">
        <x:v>Servicing, Operations &amp; Business Support</x:v>
      </x:c>
      <x:c r="C196" s="25" t="str">
        <x:v>VP+</x:v>
      </x:c>
      <x:c r="D196" s="40" t="n">
        <x:v>87.85919999999999</x:v>
      </x:c>
      <x:c r="E196" s="40" t="n">
        <x:v>0.72</x:v>
      </x:c>
      <x:c r="F196" s="40" t="n">
        <x:v>0.6911999999999999</x:v>
      </x:c>
      <x:c r="G196" s="40" t="n">
        <x:v>87.88799999999999</x:v>
      </x:c>
      <x:c r="H196" s="44" t="n">
        <x:v>430000</x:v>
      </x:c>
      <x:c r="I196" s="40" t="n">
        <x:v>3.148804</x:v>
      </x:c>
      <x:c r="J196" s="25" t="str">
        <x:v>SYNTHETIC_ASSUMPTION</x:v>
      </x:c>
    </x:row>
    <x:row r="197">
      <x:c r="A197" s="39" t="n">
        <x:v>45839</x:v>
      </x:c>
      <x:c r="B197" s="25" t="str">
        <x:v>Consumer Card Products &amp; Portfolio</x:v>
      </x:c>
      <x:c r="C197" s="25" t="str">
        <x:v>Analyst / Associate</x:v>
      </x:c>
      <x:c r="D197" s="40" t="n">
        <x:v>505.356</x:v>
      </x:c>
      <x:c r="E197" s="40" t="n">
        <x:v>4.416</x:v>
      </x:c>
      <x:c r="F197" s="40" t="n">
        <x:v>4.140000000000001</x:v>
      </x:c>
      <x:c r="G197" s="40" t="n">
        <x:v>505.63200000000006</x:v>
      </x:c>
      <x:c r="H197" s="44" t="n">
        <x:v>145000</x:v>
      </x:c>
      <x:c r="I197" s="40" t="n">
        <x:v>6.1080525</x:v>
      </x:c>
      <x:c r="J197" s="25" t="str">
        <x:v>SYNTHETIC_ASSUMPTION</x:v>
      </x:c>
    </x:row>
    <x:row r="198">
      <x:c r="A198" s="39" t="n">
        <x:v>45839</x:v>
      </x:c>
      <x:c r="B198" s="25" t="str">
        <x:v>Consumer Card Products &amp; Portfolio</x:v>
      </x:c>
      <x:c r="C198" s="25" t="str">
        <x:v>Manager / Senior Manager</x:v>
      </x:c>
      <x:c r="D198" s="40" t="n">
        <x:v>340.566</x:v>
      </x:c>
      <x:c r="E198" s="40" t="n">
        <x:v>2.976</x:v>
      </x:c>
      <x:c r="F198" s="40" t="n">
        <x:v>2.79</x:v>
      </x:c>
      <x:c r="G198" s="40" t="n">
        <x:v>340.752</x:v>
      </x:c>
      <x:c r="H198" s="44" t="n">
        <x:v>205000</x:v>
      </x:c>
      <x:c r="I198" s="40" t="n">
        <x:v>5.819591249999999</x:v>
      </x:c>
      <x:c r="J198" s="25" t="str">
        <x:v>SYNTHETIC_ASSUMPTION</x:v>
      </x:c>
    </x:row>
    <x:row r="199">
      <x:c r="A199" s="39" t="n">
        <x:v>45839</x:v>
      </x:c>
      <x:c r="B199" s="25" t="str">
        <x:v>Consumer Card Products &amp; Portfolio</x:v>
      </x:c>
      <x:c r="C199" s="25" t="str">
        <x:v>Director</x:v>
      </x:c>
      <x:c r="D199" s="40" t="n">
        <x:v>186.762</x:v>
      </x:c>
      <x:c r="E199" s="40" t="n">
        <x:v>1.6320000000000001</x:v>
      </x:c>
      <x:c r="F199" s="40" t="n">
        <x:v>1.53</x:v>
      </x:c>
      <x:c r="G199" s="40" t="n">
        <x:v>186.86400000000003</x:v>
      </x:c>
      <x:c r="H199" s="44" t="n">
        <x:v>285000</x:v>
      </x:c>
      <x:c r="I199" s="40" t="n">
        <x:v>4.43680875</x:v>
      </x:c>
      <x:c r="J199" s="25" t="str">
        <x:v>SYNTHETIC_ASSUMPTION</x:v>
      </x:c>
    </x:row>
    <x:row r="200">
      <x:c r="A200" s="39" t="n">
        <x:v>45839</x:v>
      </x:c>
      <x:c r="B200" s="25" t="str">
        <x:v>Consumer Card Products &amp; Portfolio</x:v>
      </x:c>
      <x:c r="C200" s="25" t="str">
        <x:v>VP+</x:v>
      </x:c>
      <x:c r="D200" s="40" t="n">
        <x:v>65.916</x:v>
      </x:c>
      <x:c r="E200" s="40" t="n">
        <x:v>0.576</x:v>
      </x:c>
      <x:c r="F200" s="40" t="n">
        <x:v>0.54</x:v>
      </x:c>
      <x:c r="G200" s="40" t="n">
        <x:v>65.952</x:v>
      </x:c>
      <x:c r="H200" s="44" t="n">
        <x:v>430000</x:v>
      </x:c>
      <x:c r="I200" s="40" t="n">
        <x:v>2.3626349999999996</x:v>
      </x:c>
      <x:c r="J200" s="25" t="str">
        <x:v>SYNTHETIC_ASSUMPTION</x:v>
      </x:c>
    </x:row>
    <x:row r="201">
      <x:c r="A201" s="39" t="n">
        <x:v>45839</x:v>
      </x:c>
      <x:c r="B201" s="25" t="str">
        <x:v>Lending &amp; U.S. Consumer Banking</x:v>
      </x:c>
      <x:c r="C201" s="25" t="str">
        <x:v>Analyst / Associate</x:v>
      </x:c>
      <x:c r="D201" s="40" t="n">
        <x:v>505.356</x:v>
      </x:c>
      <x:c r="E201" s="40" t="n">
        <x:v>4.416</x:v>
      </x:c>
      <x:c r="F201" s="40" t="n">
        <x:v>4.140000000000001</x:v>
      </x:c>
      <x:c r="G201" s="40" t="n">
        <x:v>505.63200000000006</x:v>
      </x:c>
      <x:c r="H201" s="44" t="n">
        <x:v>145000</x:v>
      </x:c>
      <x:c r="I201" s="40" t="n">
        <x:v>6.1080525</x:v>
      </x:c>
      <x:c r="J201" s="25" t="str">
        <x:v>SYNTHETIC_ASSUMPTION</x:v>
      </x:c>
    </x:row>
    <x:row r="202">
      <x:c r="A202" s="39" t="n">
        <x:v>45839</x:v>
      </x:c>
      <x:c r="B202" s="25" t="str">
        <x:v>Lending &amp; U.S. Consumer Banking</x:v>
      </x:c>
      <x:c r="C202" s="25" t="str">
        <x:v>Manager / Senior Manager</x:v>
      </x:c>
      <x:c r="D202" s="40" t="n">
        <x:v>340.566</x:v>
      </x:c>
      <x:c r="E202" s="40" t="n">
        <x:v>2.976</x:v>
      </x:c>
      <x:c r="F202" s="40" t="n">
        <x:v>2.79</x:v>
      </x:c>
      <x:c r="G202" s="40" t="n">
        <x:v>340.752</x:v>
      </x:c>
      <x:c r="H202" s="44" t="n">
        <x:v>205000</x:v>
      </x:c>
      <x:c r="I202" s="40" t="n">
        <x:v>5.819591249999999</x:v>
      </x:c>
      <x:c r="J202" s="25" t="str">
        <x:v>SYNTHETIC_ASSUMPTION</x:v>
      </x:c>
    </x:row>
    <x:row r="203">
      <x:c r="A203" s="39" t="n">
        <x:v>45839</x:v>
      </x:c>
      <x:c r="B203" s="25" t="str">
        <x:v>Lending &amp; U.S. Consumer Banking</x:v>
      </x:c>
      <x:c r="C203" s="25" t="str">
        <x:v>Director</x:v>
      </x:c>
      <x:c r="D203" s="40" t="n">
        <x:v>186.762</x:v>
      </x:c>
      <x:c r="E203" s="40" t="n">
        <x:v>1.6320000000000001</x:v>
      </x:c>
      <x:c r="F203" s="40" t="n">
        <x:v>1.53</x:v>
      </x:c>
      <x:c r="G203" s="40" t="n">
        <x:v>186.86400000000003</x:v>
      </x:c>
      <x:c r="H203" s="44" t="n">
        <x:v>285000</x:v>
      </x:c>
      <x:c r="I203" s="40" t="n">
        <x:v>4.43680875</x:v>
      </x:c>
      <x:c r="J203" s="25" t="str">
        <x:v>SYNTHETIC_ASSUMPTION</x:v>
      </x:c>
    </x:row>
    <x:row r="204">
      <x:c r="A204" s="39" t="n">
        <x:v>45839</x:v>
      </x:c>
      <x:c r="B204" s="25" t="str">
        <x:v>Lending &amp; U.S. Consumer Banking</x:v>
      </x:c>
      <x:c r="C204" s="25" t="str">
        <x:v>VP+</x:v>
      </x:c>
      <x:c r="D204" s="40" t="n">
        <x:v>65.916</x:v>
      </x:c>
      <x:c r="E204" s="40" t="n">
        <x:v>0.576</x:v>
      </x:c>
      <x:c r="F204" s="40" t="n">
        <x:v>0.54</x:v>
      </x:c>
      <x:c r="G204" s="40" t="n">
        <x:v>65.952</x:v>
      </x:c>
      <x:c r="H204" s="44" t="n">
        <x:v>430000</x:v>
      </x:c>
      <x:c r="I204" s="40" t="n">
        <x:v>2.3626349999999996</x:v>
      </x:c>
      <x:c r="J204" s="25" t="str">
        <x:v>SYNTHETIC_ASSUMPTION</x:v>
      </x:c>
    </x:row>
    <x:row r="205">
      <x:c r="A205" s="39" t="n">
        <x:v>45839</x:v>
      </x:c>
      <x:c r="B205" s="25" t="str">
        <x:v>Membership Rewards &amp; Card Member Benefits</x:v>
      </x:c>
      <x:c r="C205" s="25" t="str">
        <x:v>Analyst / Associate</x:v>
      </x:c>
      <x:c r="D205" s="40" t="n">
        <x:v>505.356</x:v>
      </x:c>
      <x:c r="E205" s="40" t="n">
        <x:v>4.416</x:v>
      </x:c>
      <x:c r="F205" s="40" t="n">
        <x:v>4.140000000000001</x:v>
      </x:c>
      <x:c r="G205" s="40" t="n">
        <x:v>505.63200000000006</x:v>
      </x:c>
      <x:c r="H205" s="44" t="n">
        <x:v>145000</x:v>
      </x:c>
      <x:c r="I205" s="40" t="n">
        <x:v>6.1080525</x:v>
      </x:c>
      <x:c r="J205" s="25" t="str">
        <x:v>SYNTHETIC_ASSUMPTION</x:v>
      </x:c>
    </x:row>
    <x:row r="206">
      <x:c r="A206" s="39" t="n">
        <x:v>45839</x:v>
      </x:c>
      <x:c r="B206" s="25" t="str">
        <x:v>Membership Rewards &amp; Card Member Benefits</x:v>
      </x:c>
      <x:c r="C206" s="25" t="str">
        <x:v>Manager / Senior Manager</x:v>
      </x:c>
      <x:c r="D206" s="40" t="n">
        <x:v>340.566</x:v>
      </x:c>
      <x:c r="E206" s="40" t="n">
        <x:v>2.976</x:v>
      </x:c>
      <x:c r="F206" s="40" t="n">
        <x:v>2.79</x:v>
      </x:c>
      <x:c r="G206" s="40" t="n">
        <x:v>340.752</x:v>
      </x:c>
      <x:c r="H206" s="44" t="n">
        <x:v>205000</x:v>
      </x:c>
      <x:c r="I206" s="40" t="n">
        <x:v>5.819591249999999</x:v>
      </x:c>
      <x:c r="J206" s="25" t="str">
        <x:v>SYNTHETIC_ASSUMPTION</x:v>
      </x:c>
    </x:row>
    <x:row r="207">
      <x:c r="A207" s="39" t="n">
        <x:v>45839</x:v>
      </x:c>
      <x:c r="B207" s="25" t="str">
        <x:v>Membership Rewards &amp; Card Member Benefits</x:v>
      </x:c>
      <x:c r="C207" s="25" t="str">
        <x:v>Director</x:v>
      </x:c>
      <x:c r="D207" s="40" t="n">
        <x:v>186.762</x:v>
      </x:c>
      <x:c r="E207" s="40" t="n">
        <x:v>1.6320000000000001</x:v>
      </x:c>
      <x:c r="F207" s="40" t="n">
        <x:v>1.53</x:v>
      </x:c>
      <x:c r="G207" s="40" t="n">
        <x:v>186.86400000000003</x:v>
      </x:c>
      <x:c r="H207" s="44" t="n">
        <x:v>285000</x:v>
      </x:c>
      <x:c r="I207" s="40" t="n">
        <x:v>4.43680875</x:v>
      </x:c>
      <x:c r="J207" s="25" t="str">
        <x:v>SYNTHETIC_ASSUMPTION</x:v>
      </x:c>
    </x:row>
    <x:row r="208">
      <x:c r="A208" s="39" t="n">
        <x:v>45839</x:v>
      </x:c>
      <x:c r="B208" s="25" t="str">
        <x:v>Membership Rewards &amp; Card Member Benefits</x:v>
      </x:c>
      <x:c r="C208" s="25" t="str">
        <x:v>VP+</x:v>
      </x:c>
      <x:c r="D208" s="40" t="n">
        <x:v>65.916</x:v>
      </x:c>
      <x:c r="E208" s="40" t="n">
        <x:v>0.576</x:v>
      </x:c>
      <x:c r="F208" s="40" t="n">
        <x:v>0.54</x:v>
      </x:c>
      <x:c r="G208" s="40" t="n">
        <x:v>65.952</x:v>
      </x:c>
      <x:c r="H208" s="44" t="n">
        <x:v>430000</x:v>
      </x:c>
      <x:c r="I208" s="40" t="n">
        <x:v>2.3626349999999996</x:v>
      </x:c>
      <x:c r="J208" s="25" t="str">
        <x:v>SYNTHETIC_ASSUMPTION</x:v>
      </x:c>
    </x:row>
    <x:row r="209">
      <x:c r="A209" s="39" t="n">
        <x:v>45839</x:v>
      </x:c>
      <x:c r="B209" s="25" t="str">
        <x:v>Travel, Lifestyle, Dining &amp; Lounges</x:v>
      </x:c>
      <x:c r="C209" s="25" t="str">
        <x:v>Analyst / Associate</x:v>
      </x:c>
      <x:c r="D209" s="40" t="n">
        <x:v>336.904</x:v>
      </x:c>
      <x:c r="E209" s="40" t="n">
        <x:v>2.9440000000000004</x:v>
      </x:c>
      <x:c r="F209" s="40" t="n">
        <x:v>2.7600000000000002</x:v>
      </x:c>
      <x:c r="G209" s="40" t="n">
        <x:v>337.088</x:v>
      </x:c>
      <x:c r="H209" s="44" t="n">
        <x:v>145000</x:v>
      </x:c>
      <x:c r="I209" s="40" t="n">
        <x:v>4.0720350000000005</x:v>
      </x:c>
      <x:c r="J209" s="25" t="str">
        <x:v>SYNTHETIC_ASSUMPTION</x:v>
      </x:c>
    </x:row>
    <x:row r="210">
      <x:c r="A210" s="39" t="n">
        <x:v>45839</x:v>
      </x:c>
      <x:c r="B210" s="25" t="str">
        <x:v>Travel, Lifestyle, Dining &amp; Lounges</x:v>
      </x:c>
      <x:c r="C210" s="25" t="str">
        <x:v>Manager / Senior Manager</x:v>
      </x:c>
      <x:c r="D210" s="40" t="n">
        <x:v>227.04399999999998</x:v>
      </x:c>
      <x:c r="E210" s="40" t="n">
        <x:v>1.984</x:v>
      </x:c>
      <x:c r="F210" s="40" t="n">
        <x:v>1.8599999999999999</x:v>
      </x:c>
      <x:c r="G210" s="40" t="n">
        <x:v>227.168</x:v>
      </x:c>
      <x:c r="H210" s="44" t="n">
        <x:v>205000</x:v>
      </x:c>
      <x:c r="I210" s="40" t="n">
        <x:v>3.8797275</x:v>
      </x:c>
      <x:c r="J210" s="25" t="str">
        <x:v>SYNTHETIC_ASSUMPTION</x:v>
      </x:c>
    </x:row>
    <x:row r="211">
      <x:c r="A211" s="39" t="n">
        <x:v>45839</x:v>
      </x:c>
      <x:c r="B211" s="25" t="str">
        <x:v>Travel, Lifestyle, Dining &amp; Lounges</x:v>
      </x:c>
      <x:c r="C211" s="25" t="str">
        <x:v>Director</x:v>
      </x:c>
      <x:c r="D211" s="40" t="n">
        <x:v>124.50800000000001</x:v>
      </x:c>
      <x:c r="E211" s="40" t="n">
        <x:v>1.088</x:v>
      </x:c>
      <x:c r="F211" s="40" t="n">
        <x:v>1.02</x:v>
      </x:c>
      <x:c r="G211" s="40" t="n">
        <x:v>124.57600000000002</x:v>
      </x:c>
      <x:c r="H211" s="44" t="n">
        <x:v>285000</x:v>
      </x:c>
      <x:c r="I211" s="40" t="n">
        <x:v>2.9578725000000006</x:v>
      </x:c>
      <x:c r="J211" s="25" t="str">
        <x:v>SYNTHETIC_ASSUMPTION</x:v>
      </x:c>
    </x:row>
    <x:row r="212">
      <x:c r="A212" s="39" t="n">
        <x:v>45839</x:v>
      </x:c>
      <x:c r="B212" s="25" t="str">
        <x:v>Travel, Lifestyle, Dining &amp; Lounges</x:v>
      </x:c>
      <x:c r="C212" s="25" t="str">
        <x:v>VP+</x:v>
      </x:c>
      <x:c r="D212" s="40" t="n">
        <x:v>43.943999999999996</x:v>
      </x:c>
      <x:c r="E212" s="40" t="n">
        <x:v>0.384</x:v>
      </x:c>
      <x:c r="F212" s="40" t="n">
        <x:v>0.36</x:v>
      </x:c>
      <x:c r="G212" s="40" t="n">
        <x:v>43.968</x:v>
      </x:c>
      <x:c r="H212" s="44" t="n">
        <x:v>430000</x:v>
      </x:c>
      <x:c r="I212" s="40" t="n">
        <x:v>1.57509</x:v>
      </x:c>
      <x:c r="J212" s="25" t="str">
        <x:v>SYNTHETIC_ASSUMPTION</x:v>
      </x:c>
    </x:row>
    <x:row r="213">
      <x:c r="A213" s="39" t="n">
        <x:v>45839</x:v>
      </x:c>
      <x:c r="B213" s="25" t="str">
        <x:v>Cobrand Partnerships &amp; Business Development</x:v>
      </x:c>
      <x:c r="C213" s="25" t="str">
        <x:v>Analyst / Associate</x:v>
      </x:c>
      <x:c r="D213" s="40" t="n">
        <x:v>421.13</x:v>
      </x:c>
      <x:c r="E213" s="40" t="n">
        <x:v>3.68</x:v>
      </x:c>
      <x:c r="F213" s="40" t="n">
        <x:v>3.45</x:v>
      </x:c>
      <x:c r="G213" s="40" t="n">
        <x:v>421.36</x:v>
      </x:c>
      <x:c r="H213" s="44" t="n">
        <x:v>145000</x:v>
      </x:c>
      <x:c r="I213" s="40" t="n">
        <x:v>5.09004375</x:v>
      </x:c>
      <x:c r="J213" s="25" t="str">
        <x:v>SYNTHETIC_ASSUMPTION</x:v>
      </x:c>
    </x:row>
    <x:row r="214">
      <x:c r="A214" s="39" t="n">
        <x:v>45839</x:v>
      </x:c>
      <x:c r="B214" s="25" t="str">
        <x:v>Cobrand Partnerships &amp; Business Development</x:v>
      </x:c>
      <x:c r="C214" s="25" t="str">
        <x:v>Manager / Senior Manager</x:v>
      </x:c>
      <x:c r="D214" s="40" t="n">
        <x:v>283.805</x:v>
      </x:c>
      <x:c r="E214" s="40" t="n">
        <x:v>2.48</x:v>
      </x:c>
      <x:c r="F214" s="40" t="n">
        <x:v>2.325</x:v>
      </x:c>
      <x:c r="G214" s="40" t="n">
        <x:v>283.96</x:v>
      </x:c>
      <x:c r="H214" s="44" t="n">
        <x:v>205000</x:v>
      </x:c>
      <x:c r="I214" s="40" t="n">
        <x:v>4.849659375</x:v>
      </x:c>
      <x:c r="J214" s="25" t="str">
        <x:v>SYNTHETIC_ASSUMPTION</x:v>
      </x:c>
    </x:row>
    <x:row r="215">
      <x:c r="A215" s="39" t="n">
        <x:v>45839</x:v>
      </x:c>
      <x:c r="B215" s="25" t="str">
        <x:v>Cobrand Partnerships &amp; Business Development</x:v>
      </x:c>
      <x:c r="C215" s="25" t="str">
        <x:v>Director</x:v>
      </x:c>
      <x:c r="D215" s="40" t="n">
        <x:v>155.63500000000002</x:v>
      </x:c>
      <x:c r="E215" s="40" t="n">
        <x:v>1.36</x:v>
      </x:c>
      <x:c r="F215" s="40" t="n">
        <x:v>1.2750000000000001</x:v>
      </x:c>
      <x:c r="G215" s="40" t="n">
        <x:v>155.72</x:v>
      </x:c>
      <x:c r="H215" s="44" t="n">
        <x:v>285000</x:v>
      </x:c>
      <x:c r="I215" s="40" t="n">
        <x:v>3.697340625</x:v>
      </x:c>
      <x:c r="J215" s="25" t="str">
        <x:v>SYNTHETIC_ASSUMPTION</x:v>
      </x:c>
    </x:row>
    <x:row r="216">
      <x:c r="A216" s="39" t="n">
        <x:v>45839</x:v>
      </x:c>
      <x:c r="B216" s="25" t="str">
        <x:v>Cobrand Partnerships &amp; Business Development</x:v>
      </x:c>
      <x:c r="C216" s="25" t="str">
        <x:v>VP+</x:v>
      </x:c>
      <x:c r="D216" s="40" t="n">
        <x:v>54.93</x:v>
      </x:c>
      <x:c r="E216" s="40" t="n">
        <x:v>0.48</x:v>
      </x:c>
      <x:c r="F216" s="40" t="n">
        <x:v>0.44999999999999996</x:v>
      </x:c>
      <x:c r="G216" s="40" t="n">
        <x:v>54.96</x:v>
      </x:c>
      <x:c r="H216" s="44" t="n">
        <x:v>430000</x:v>
      </x:c>
      <x:c r="I216" s="40" t="n">
        <x:v>1.9688625</x:v>
      </x:c>
      <x:c r="J216" s="25" t="str">
        <x:v>SYNTHETIC_ASSUMPTION</x:v>
      </x:c>
    </x:row>
    <x:row r="217">
      <x:c r="A217" s="39" t="n">
        <x:v>45839</x:v>
      </x:c>
      <x:c r="B217" s="25" t="str">
        <x:v>U.S. Consumer Marketing &amp; Acquisition</x:v>
      </x:c>
      <x:c r="C217" s="25" t="str">
        <x:v>Analyst / Associate</x:v>
      </x:c>
      <x:c r="D217" s="40" t="n">
        <x:v>505.356</x:v>
      </x:c>
      <x:c r="E217" s="40" t="n">
        <x:v>4.416</x:v>
      </x:c>
      <x:c r="F217" s="40" t="n">
        <x:v>4.140000000000001</x:v>
      </x:c>
      <x:c r="G217" s="40" t="n">
        <x:v>505.63200000000006</x:v>
      </x:c>
      <x:c r="H217" s="44" t="n">
        <x:v>145000</x:v>
      </x:c>
      <x:c r="I217" s="40" t="n">
        <x:v>6.1080525</x:v>
      </x:c>
      <x:c r="J217" s="25" t="str">
        <x:v>SYNTHETIC_ASSUMPTION</x:v>
      </x:c>
    </x:row>
    <x:row r="218">
      <x:c r="A218" s="39" t="n">
        <x:v>45839</x:v>
      </x:c>
      <x:c r="B218" s="25" t="str">
        <x:v>U.S. Consumer Marketing &amp; Acquisition</x:v>
      </x:c>
      <x:c r="C218" s="25" t="str">
        <x:v>Manager / Senior Manager</x:v>
      </x:c>
      <x:c r="D218" s="40" t="n">
        <x:v>340.566</x:v>
      </x:c>
      <x:c r="E218" s="40" t="n">
        <x:v>2.976</x:v>
      </x:c>
      <x:c r="F218" s="40" t="n">
        <x:v>2.79</x:v>
      </x:c>
      <x:c r="G218" s="40" t="n">
        <x:v>340.752</x:v>
      </x:c>
      <x:c r="H218" s="44" t="n">
        <x:v>205000</x:v>
      </x:c>
      <x:c r="I218" s="40" t="n">
        <x:v>5.819591249999999</x:v>
      </x:c>
      <x:c r="J218" s="25" t="str">
        <x:v>SYNTHETIC_ASSUMPTION</x:v>
      </x:c>
    </x:row>
    <x:row r="219">
      <x:c r="A219" s="39" t="n">
        <x:v>45839</x:v>
      </x:c>
      <x:c r="B219" s="25" t="str">
        <x:v>U.S. Consumer Marketing &amp; Acquisition</x:v>
      </x:c>
      <x:c r="C219" s="25" t="str">
        <x:v>Director</x:v>
      </x:c>
      <x:c r="D219" s="40" t="n">
        <x:v>186.762</x:v>
      </x:c>
      <x:c r="E219" s="40" t="n">
        <x:v>1.6320000000000001</x:v>
      </x:c>
      <x:c r="F219" s="40" t="n">
        <x:v>1.53</x:v>
      </x:c>
      <x:c r="G219" s="40" t="n">
        <x:v>186.86400000000003</x:v>
      </x:c>
      <x:c r="H219" s="44" t="n">
        <x:v>285000</x:v>
      </x:c>
      <x:c r="I219" s="40" t="n">
        <x:v>4.43680875</x:v>
      </x:c>
      <x:c r="J219" s="25" t="str">
        <x:v>SYNTHETIC_ASSUMPTION</x:v>
      </x:c>
    </x:row>
    <x:row r="220">
      <x:c r="A220" s="39" t="n">
        <x:v>45839</x:v>
      </x:c>
      <x:c r="B220" s="25" t="str">
        <x:v>U.S. Consumer Marketing &amp; Acquisition</x:v>
      </x:c>
      <x:c r="C220" s="25" t="str">
        <x:v>VP+</x:v>
      </x:c>
      <x:c r="D220" s="40" t="n">
        <x:v>65.916</x:v>
      </x:c>
      <x:c r="E220" s="40" t="n">
        <x:v>0.576</x:v>
      </x:c>
      <x:c r="F220" s="40" t="n">
        <x:v>0.54</x:v>
      </x:c>
      <x:c r="G220" s="40" t="n">
        <x:v>65.952</x:v>
      </x:c>
      <x:c r="H220" s="44" t="n">
        <x:v>430000</x:v>
      </x:c>
      <x:c r="I220" s="40" t="n">
        <x:v>2.3626349999999996</x:v>
      </x:c>
      <x:c r="J220" s="25" t="str">
        <x:v>SYNTHETIC_ASSUMPTION</x:v>
      </x:c>
    </x:row>
    <x:row r="221">
      <x:c r="A221" s="39" t="n">
        <x:v>45839</x:v>
      </x:c>
      <x:c r="B221" s="25" t="str">
        <x:v>Product, Data &amp; Technology</x:v>
      </x:c>
      <x:c r="C221" s="25" t="str">
        <x:v>Analyst / Associate</x:v>
      </x:c>
      <x:c r="D221" s="40" t="n">
        <x:v>758.034</x:v>
      </x:c>
      <x:c r="E221" s="40" t="n">
        <x:v>6.624</x:v>
      </x:c>
      <x:c r="F221" s="40" t="n">
        <x:v>6.21</x:v>
      </x:c>
      <x:c r="G221" s="40" t="n">
        <x:v>758.448</x:v>
      </x:c>
      <x:c r="H221" s="44" t="n">
        <x:v>145000</x:v>
      </x:c>
      <x:c r="I221" s="40" t="n">
        <x:v>9.16207875</x:v>
      </x:c>
      <x:c r="J221" s="25" t="str">
        <x:v>SYNTHETIC_ASSUMPTION</x:v>
      </x:c>
    </x:row>
    <x:row r="222">
      <x:c r="A222" s="39" t="n">
        <x:v>45839</x:v>
      </x:c>
      <x:c r="B222" s="25" t="str">
        <x:v>Product, Data &amp; Technology</x:v>
      </x:c>
      <x:c r="C222" s="25" t="str">
        <x:v>Manager / Senior Manager</x:v>
      </x:c>
      <x:c r="D222" s="40" t="n">
        <x:v>510.84899999999993</x:v>
      </x:c>
      <x:c r="E222" s="40" t="n">
        <x:v>4.4639999999999995</x:v>
      </x:c>
      <x:c r="F222" s="40" t="n">
        <x:v>4.185</x:v>
      </x:c>
      <x:c r="G222" s="40" t="n">
        <x:v>511.128</x:v>
      </x:c>
      <x:c r="H222" s="44" t="n">
        <x:v>205000</x:v>
      </x:c>
      <x:c r="I222" s="40" t="n">
        <x:v>8.729386875</x:v>
      </x:c>
      <x:c r="J222" s="25" t="str">
        <x:v>SYNTHETIC_ASSUMPTION</x:v>
      </x:c>
    </x:row>
    <x:row r="223">
      <x:c r="A223" s="39" t="n">
        <x:v>45839</x:v>
      </x:c>
      <x:c r="B223" s="25" t="str">
        <x:v>Product, Data &amp; Technology</x:v>
      </x:c>
      <x:c r="C223" s="25" t="str">
        <x:v>Director</x:v>
      </x:c>
      <x:c r="D223" s="40" t="n">
        <x:v>280.143</x:v>
      </x:c>
      <x:c r="E223" s="40" t="n">
        <x:v>2.448</x:v>
      </x:c>
      <x:c r="F223" s="40" t="n">
        <x:v>2.2950000000000004</x:v>
      </x:c>
      <x:c r="G223" s="40" t="n">
        <x:v>280.296</x:v>
      </x:c>
      <x:c r="H223" s="44" t="n">
        <x:v>285000</x:v>
      </x:c>
      <x:c r="I223" s="40" t="n">
        <x:v>6.655213125</x:v>
      </x:c>
      <x:c r="J223" s="25" t="str">
        <x:v>SYNTHETIC_ASSUMPTION</x:v>
      </x:c>
    </x:row>
    <x:row r="224">
      <x:c r="A224" s="39" t="n">
        <x:v>45839</x:v>
      </x:c>
      <x:c r="B224" s="25" t="str">
        <x:v>Product, Data &amp; Technology</x:v>
      </x:c>
      <x:c r="C224" s="25" t="str">
        <x:v>VP+</x:v>
      </x:c>
      <x:c r="D224" s="40" t="n">
        <x:v>98.874</x:v>
      </x:c>
      <x:c r="E224" s="40" t="n">
        <x:v>0.8639999999999999</x:v>
      </x:c>
      <x:c r="F224" s="40" t="n">
        <x:v>0.8099999999999999</x:v>
      </x:c>
      <x:c r="G224" s="40" t="n">
        <x:v>98.928</x:v>
      </x:c>
      <x:c r="H224" s="44" t="n">
        <x:v>430000</x:v>
      </x:c>
      <x:c r="I224" s="40" t="n">
        <x:v>3.5439525</x:v>
      </x:c>
      <x:c r="J224" s="25" t="str">
        <x:v>SYNTHETIC_ASSUMPTION</x:v>
      </x:c>
    </x:row>
    <x:row r="225">
      <x:c r="A225" s="39" t="n">
        <x:v>45839</x:v>
      </x:c>
      <x:c r="B225" s="25" t="str">
        <x:v>Servicing, Operations &amp; Business Support</x:v>
      </x:c>
      <x:c r="C225" s="25" t="str">
        <x:v>Analyst / Associate</x:v>
      </x:c>
      <x:c r="D225" s="40" t="n">
        <x:v>673.808</x:v>
      </x:c>
      <x:c r="E225" s="40" t="n">
        <x:v>5.888000000000001</x:v>
      </x:c>
      <x:c r="F225" s="40" t="n">
        <x:v>5.5200000000000005</x:v>
      </x:c>
      <x:c r="G225" s="40" t="n">
        <x:v>674.176</x:v>
      </x:c>
      <x:c r="H225" s="44" t="n">
        <x:v>145000</x:v>
      </x:c>
      <x:c r="I225" s="40" t="n">
        <x:v>8.144070000000001</x:v>
      </x:c>
      <x:c r="J225" s="25" t="str">
        <x:v>SYNTHETIC_ASSUMPTION</x:v>
      </x:c>
    </x:row>
    <x:row r="226">
      <x:c r="A226" s="39" t="n">
        <x:v>45839</x:v>
      </x:c>
      <x:c r="B226" s="25" t="str">
        <x:v>Servicing, Operations &amp; Business Support</x:v>
      </x:c>
      <x:c r="C226" s="25" t="str">
        <x:v>Manager / Senior Manager</x:v>
      </x:c>
      <x:c r="D226" s="40" t="n">
        <x:v>454.08799999999997</x:v>
      </x:c>
      <x:c r="E226" s="40" t="n">
        <x:v>3.968</x:v>
      </x:c>
      <x:c r="F226" s="40" t="n">
        <x:v>3.7199999999999998</x:v>
      </x:c>
      <x:c r="G226" s="40" t="n">
        <x:v>454.336</x:v>
      </x:c>
      <x:c r="H226" s="44" t="n">
        <x:v>205000</x:v>
      </x:c>
      <x:c r="I226" s="40" t="n">
        <x:v>7.759455</x:v>
      </x:c>
      <x:c r="J226" s="25" t="str">
        <x:v>SYNTHETIC_ASSUMPTION</x:v>
      </x:c>
    </x:row>
    <x:row r="227">
      <x:c r="A227" s="39" t="n">
        <x:v>45839</x:v>
      </x:c>
      <x:c r="B227" s="25" t="str">
        <x:v>Servicing, Operations &amp; Business Support</x:v>
      </x:c>
      <x:c r="C227" s="25" t="str">
        <x:v>Director</x:v>
      </x:c>
      <x:c r="D227" s="40" t="n">
        <x:v>249.01600000000002</x:v>
      </x:c>
      <x:c r="E227" s="40" t="n">
        <x:v>2.176</x:v>
      </x:c>
      <x:c r="F227" s="40" t="n">
        <x:v>2.04</x:v>
      </x:c>
      <x:c r="G227" s="40" t="n">
        <x:v>249.15200000000004</x:v>
      </x:c>
      <x:c r="H227" s="44" t="n">
        <x:v>285000</x:v>
      </x:c>
      <x:c r="I227" s="40" t="n">
        <x:v>5.915745000000001</x:v>
      </x:c>
      <x:c r="J227" s="25" t="str">
        <x:v>SYNTHETIC_ASSUMPTION</x:v>
      </x:c>
    </x:row>
    <x:row r="228">
      <x:c r="A228" s="39" t="n">
        <x:v>45839</x:v>
      </x:c>
      <x:c r="B228" s="25" t="str">
        <x:v>Servicing, Operations &amp; Business Support</x:v>
      </x:c>
      <x:c r="C228" s="25" t="str">
        <x:v>VP+</x:v>
      </x:c>
      <x:c r="D228" s="40" t="n">
        <x:v>87.88799999999999</x:v>
      </x:c>
      <x:c r="E228" s="40" t="n">
        <x:v>0.768</x:v>
      </x:c>
      <x:c r="F228" s="40" t="n">
        <x:v>0.72</x:v>
      </x:c>
      <x:c r="G228" s="40" t="n">
        <x:v>87.936</x:v>
      </x:c>
      <x:c r="H228" s="44" t="n">
        <x:v>430000</x:v>
      </x:c>
      <x:c r="I228" s="40" t="n">
        <x:v>3.15018</x:v>
      </x:c>
      <x:c r="J228" s="25" t="str">
        <x:v>SYNTHETIC_ASSUMPTION</x:v>
      </x:c>
    </x:row>
    <x:row r="229">
      <x:c r="A229" s="39" t="n">
        <x:v>45870</x:v>
      </x:c>
      <x:c r="B229" s="25" t="str">
        <x:v>Consumer Card Products &amp; Portfolio</x:v>
      </x:c>
      <x:c r="C229" s="25" t="str">
        <x:v>Analyst / Associate</x:v>
      </x:c>
      <x:c r="D229" s="40" t="n">
        <x:v>505.63200000000006</x:v>
      </x:c>
      <x:c r="E229" s="40" t="n">
        <x:v>4.140000000000001</x:v>
      </x:c>
      <x:c r="F229" s="40" t="n">
        <x:v>4.1952</x:v>
      </x:c>
      <x:c r="G229" s="40" t="n">
        <x:v>505.5768</x:v>
      </x:c>
      <x:c r="H229" s="44" t="n">
        <x:v>145000</x:v>
      </x:c>
      <x:c r="I229" s="40" t="n">
        <x:v>6.109386499999999</x:v>
      </x:c>
      <x:c r="J229" s="25" t="str">
        <x:v>SYNTHETIC_ASSUMPTION</x:v>
      </x:c>
    </x:row>
    <x:row r="230">
      <x:c r="A230" s="39" t="n">
        <x:v>45870</x:v>
      </x:c>
      <x:c r="B230" s="25" t="str">
        <x:v>Consumer Card Products &amp; Portfolio</x:v>
      </x:c>
      <x:c r="C230" s="25" t="str">
        <x:v>Manager / Senior Manager</x:v>
      </x:c>
      <x:c r="D230" s="40" t="n">
        <x:v>340.752</x:v>
      </x:c>
      <x:c r="E230" s="40" t="n">
        <x:v>2.79</x:v>
      </x:c>
      <x:c r="F230" s="40" t="n">
        <x:v>2.8272</x:v>
      </x:c>
      <x:c r="G230" s="40" t="n">
        <x:v>340.71479999999997</x:v>
      </x:c>
      <x:c r="H230" s="44" t="n">
        <x:v>205000</x:v>
      </x:c>
      <x:c r="I230" s="40" t="n">
        <x:v>5.820862249999999</x:v>
      </x:c>
      <x:c r="J230" s="25" t="str">
        <x:v>SYNTHETIC_ASSUMPTION</x:v>
      </x:c>
    </x:row>
    <x:row r="231">
      <x:c r="A231" s="39" t="n">
        <x:v>45870</x:v>
      </x:c>
      <x:c r="B231" s="25" t="str">
        <x:v>Consumer Card Products &amp; Portfolio</x:v>
      </x:c>
      <x:c r="C231" s="25" t="str">
        <x:v>Director</x:v>
      </x:c>
      <x:c r="D231" s="40" t="n">
        <x:v>186.86400000000003</x:v>
      </x:c>
      <x:c r="E231" s="40" t="n">
        <x:v>1.53</x:v>
      </x:c>
      <x:c r="F231" s="40" t="n">
        <x:v>1.5504</x:v>
      </x:c>
      <x:c r="G231" s="40" t="n">
        <x:v>186.8436</x:v>
      </x:c>
      <x:c r="H231" s="44" t="n">
        <x:v>285000</x:v>
      </x:c>
      <x:c r="I231" s="40" t="n">
        <x:v>4.437777749999999</x:v>
      </x:c>
      <x:c r="J231" s="25" t="str">
        <x:v>SYNTHETIC_ASSUMPTION</x:v>
      </x:c>
    </x:row>
    <x:row r="232">
      <x:c r="A232" s="39" t="n">
        <x:v>45870</x:v>
      </x:c>
      <x:c r="B232" s="25" t="str">
        <x:v>Consumer Card Products &amp; Portfolio</x:v>
      </x:c>
      <x:c r="C232" s="25" t="str">
        <x:v>VP+</x:v>
      </x:c>
      <x:c r="D232" s="40" t="n">
        <x:v>65.952</x:v>
      </x:c>
      <x:c r="E232" s="40" t="n">
        <x:v>0.54</x:v>
      </x:c>
      <x:c r="F232" s="40" t="n">
        <x:v>0.5471999999999999</x:v>
      </x:c>
      <x:c r="G232" s="40" t="n">
        <x:v>65.94479999999999</x:v>
      </x:c>
      <x:c r="H232" s="44" t="n">
        <x:v>430000</x:v>
      </x:c>
      <x:c r="I232" s="40" t="n">
        <x:v>2.3631509999999993</x:v>
      </x:c>
      <x:c r="J232" s="25" t="str">
        <x:v>SYNTHETIC_ASSUMPTION</x:v>
      </x:c>
    </x:row>
    <x:row r="233">
      <x:c r="A233" s="39" t="n">
        <x:v>45870</x:v>
      </x:c>
      <x:c r="B233" s="25" t="str">
        <x:v>Lending &amp; U.S. Consumer Banking</x:v>
      </x:c>
      <x:c r="C233" s="25" t="str">
        <x:v>Analyst / Associate</x:v>
      </x:c>
      <x:c r="D233" s="40" t="n">
        <x:v>505.63200000000006</x:v>
      </x:c>
      <x:c r="E233" s="40" t="n">
        <x:v>4.140000000000001</x:v>
      </x:c>
      <x:c r="F233" s="40" t="n">
        <x:v>4.1952</x:v>
      </x:c>
      <x:c r="G233" s="40" t="n">
        <x:v>505.5768</x:v>
      </x:c>
      <x:c r="H233" s="44" t="n">
        <x:v>145000</x:v>
      </x:c>
      <x:c r="I233" s="40" t="n">
        <x:v>6.109386499999999</x:v>
      </x:c>
      <x:c r="J233" s="25" t="str">
        <x:v>SYNTHETIC_ASSUMPTION</x:v>
      </x:c>
    </x:row>
    <x:row r="234">
      <x:c r="A234" s="39" t="n">
        <x:v>45870</x:v>
      </x:c>
      <x:c r="B234" s="25" t="str">
        <x:v>Lending &amp; U.S. Consumer Banking</x:v>
      </x:c>
      <x:c r="C234" s="25" t="str">
        <x:v>Manager / Senior Manager</x:v>
      </x:c>
      <x:c r="D234" s="40" t="n">
        <x:v>340.752</x:v>
      </x:c>
      <x:c r="E234" s="40" t="n">
        <x:v>2.79</x:v>
      </x:c>
      <x:c r="F234" s="40" t="n">
        <x:v>2.8272</x:v>
      </x:c>
      <x:c r="G234" s="40" t="n">
        <x:v>340.71479999999997</x:v>
      </x:c>
      <x:c r="H234" s="44" t="n">
        <x:v>205000</x:v>
      </x:c>
      <x:c r="I234" s="40" t="n">
        <x:v>5.820862249999999</x:v>
      </x:c>
      <x:c r="J234" s="25" t="str">
        <x:v>SYNTHETIC_ASSUMPTION</x:v>
      </x:c>
    </x:row>
    <x:row r="235">
      <x:c r="A235" s="39" t="n">
        <x:v>45870</x:v>
      </x:c>
      <x:c r="B235" s="25" t="str">
        <x:v>Lending &amp; U.S. Consumer Banking</x:v>
      </x:c>
      <x:c r="C235" s="25" t="str">
        <x:v>Director</x:v>
      </x:c>
      <x:c r="D235" s="40" t="n">
        <x:v>186.86400000000003</x:v>
      </x:c>
      <x:c r="E235" s="40" t="n">
        <x:v>1.53</x:v>
      </x:c>
      <x:c r="F235" s="40" t="n">
        <x:v>1.5504</x:v>
      </x:c>
      <x:c r="G235" s="40" t="n">
        <x:v>186.8436</x:v>
      </x:c>
      <x:c r="H235" s="44" t="n">
        <x:v>285000</x:v>
      </x:c>
      <x:c r="I235" s="40" t="n">
        <x:v>4.437777749999999</x:v>
      </x:c>
      <x:c r="J235" s="25" t="str">
        <x:v>SYNTHETIC_ASSUMPTION</x:v>
      </x:c>
    </x:row>
    <x:row r="236">
      <x:c r="A236" s="39" t="n">
        <x:v>45870</x:v>
      </x:c>
      <x:c r="B236" s="25" t="str">
        <x:v>Lending &amp; U.S. Consumer Banking</x:v>
      </x:c>
      <x:c r="C236" s="25" t="str">
        <x:v>VP+</x:v>
      </x:c>
      <x:c r="D236" s="40" t="n">
        <x:v>65.952</x:v>
      </x:c>
      <x:c r="E236" s="40" t="n">
        <x:v>0.54</x:v>
      </x:c>
      <x:c r="F236" s="40" t="n">
        <x:v>0.5471999999999999</x:v>
      </x:c>
      <x:c r="G236" s="40" t="n">
        <x:v>65.94479999999999</x:v>
      </x:c>
      <x:c r="H236" s="44" t="n">
        <x:v>430000</x:v>
      </x:c>
      <x:c r="I236" s="40" t="n">
        <x:v>2.3631509999999993</x:v>
      </x:c>
      <x:c r="J236" s="25" t="str">
        <x:v>SYNTHETIC_ASSUMPTION</x:v>
      </x:c>
    </x:row>
    <x:row r="237">
      <x:c r="A237" s="39" t="n">
        <x:v>45870</x:v>
      </x:c>
      <x:c r="B237" s="25" t="str">
        <x:v>Membership Rewards &amp; Card Member Benefits</x:v>
      </x:c>
      <x:c r="C237" s="25" t="str">
        <x:v>Analyst / Associate</x:v>
      </x:c>
      <x:c r="D237" s="40" t="n">
        <x:v>505.63200000000006</x:v>
      </x:c>
      <x:c r="E237" s="40" t="n">
        <x:v>4.140000000000001</x:v>
      </x:c>
      <x:c r="F237" s="40" t="n">
        <x:v>4.1952</x:v>
      </x:c>
      <x:c r="G237" s="40" t="n">
        <x:v>505.5768</x:v>
      </x:c>
      <x:c r="H237" s="44" t="n">
        <x:v>145000</x:v>
      </x:c>
      <x:c r="I237" s="40" t="n">
        <x:v>6.109386499999999</x:v>
      </x:c>
      <x:c r="J237" s="25" t="str">
        <x:v>SYNTHETIC_ASSUMPTION</x:v>
      </x:c>
    </x:row>
    <x:row r="238">
      <x:c r="A238" s="39" t="n">
        <x:v>45870</x:v>
      </x:c>
      <x:c r="B238" s="25" t="str">
        <x:v>Membership Rewards &amp; Card Member Benefits</x:v>
      </x:c>
      <x:c r="C238" s="25" t="str">
        <x:v>Manager / Senior Manager</x:v>
      </x:c>
      <x:c r="D238" s="40" t="n">
        <x:v>340.752</x:v>
      </x:c>
      <x:c r="E238" s="40" t="n">
        <x:v>2.79</x:v>
      </x:c>
      <x:c r="F238" s="40" t="n">
        <x:v>2.8272</x:v>
      </x:c>
      <x:c r="G238" s="40" t="n">
        <x:v>340.71479999999997</x:v>
      </x:c>
      <x:c r="H238" s="44" t="n">
        <x:v>205000</x:v>
      </x:c>
      <x:c r="I238" s="40" t="n">
        <x:v>5.820862249999999</x:v>
      </x:c>
      <x:c r="J238" s="25" t="str">
        <x:v>SYNTHETIC_ASSUMPTION</x:v>
      </x:c>
    </x:row>
    <x:row r="239">
      <x:c r="A239" s="39" t="n">
        <x:v>45870</x:v>
      </x:c>
      <x:c r="B239" s="25" t="str">
        <x:v>Membership Rewards &amp; Card Member Benefits</x:v>
      </x:c>
      <x:c r="C239" s="25" t="str">
        <x:v>Director</x:v>
      </x:c>
      <x:c r="D239" s="40" t="n">
        <x:v>186.86400000000003</x:v>
      </x:c>
      <x:c r="E239" s="40" t="n">
        <x:v>1.53</x:v>
      </x:c>
      <x:c r="F239" s="40" t="n">
        <x:v>1.5504</x:v>
      </x:c>
      <x:c r="G239" s="40" t="n">
        <x:v>186.8436</x:v>
      </x:c>
      <x:c r="H239" s="44" t="n">
        <x:v>285000</x:v>
      </x:c>
      <x:c r="I239" s="40" t="n">
        <x:v>4.437777749999999</x:v>
      </x:c>
      <x:c r="J239" s="25" t="str">
        <x:v>SYNTHETIC_ASSUMPTION</x:v>
      </x:c>
    </x:row>
    <x:row r="240">
      <x:c r="A240" s="39" t="n">
        <x:v>45870</x:v>
      </x:c>
      <x:c r="B240" s="25" t="str">
        <x:v>Membership Rewards &amp; Card Member Benefits</x:v>
      </x:c>
      <x:c r="C240" s="25" t="str">
        <x:v>VP+</x:v>
      </x:c>
      <x:c r="D240" s="40" t="n">
        <x:v>65.952</x:v>
      </x:c>
      <x:c r="E240" s="40" t="n">
        <x:v>0.54</x:v>
      </x:c>
      <x:c r="F240" s="40" t="n">
        <x:v>0.5471999999999999</x:v>
      </x:c>
      <x:c r="G240" s="40" t="n">
        <x:v>65.94479999999999</x:v>
      </x:c>
      <x:c r="H240" s="44" t="n">
        <x:v>430000</x:v>
      </x:c>
      <x:c r="I240" s="40" t="n">
        <x:v>2.3631509999999993</x:v>
      </x:c>
      <x:c r="J240" s="25" t="str">
        <x:v>SYNTHETIC_ASSUMPTION</x:v>
      </x:c>
    </x:row>
    <x:row r="241">
      <x:c r="A241" s="39" t="n">
        <x:v>45870</x:v>
      </x:c>
      <x:c r="B241" s="25" t="str">
        <x:v>Travel, Lifestyle, Dining &amp; Lounges</x:v>
      </x:c>
      <x:c r="C241" s="25" t="str">
        <x:v>Analyst / Associate</x:v>
      </x:c>
      <x:c r="D241" s="40" t="n">
        <x:v>337.088</x:v>
      </x:c>
      <x:c r="E241" s="40" t="n">
        <x:v>2.7600000000000002</x:v>
      </x:c>
      <x:c r="F241" s="40" t="n">
        <x:v>2.7968</x:v>
      </x:c>
      <x:c r="G241" s="40" t="n">
        <x:v>337.05120000000005</x:v>
      </x:c>
      <x:c r="H241" s="44" t="n">
        <x:v>145000</x:v>
      </x:c>
      <x:c r="I241" s="40" t="n">
        <x:v>4.072924333333334</x:v>
      </x:c>
      <x:c r="J241" s="25" t="str">
        <x:v>SYNTHETIC_ASSUMPTION</x:v>
      </x:c>
    </x:row>
    <x:row r="242">
      <x:c r="A242" s="39" t="n">
        <x:v>45870</x:v>
      </x:c>
      <x:c r="B242" s="25" t="str">
        <x:v>Travel, Lifestyle, Dining &amp; Lounges</x:v>
      </x:c>
      <x:c r="C242" s="25" t="str">
        <x:v>Manager / Senior Manager</x:v>
      </x:c>
      <x:c r="D242" s="40" t="n">
        <x:v>227.168</x:v>
      </x:c>
      <x:c r="E242" s="40" t="n">
        <x:v>1.8599999999999999</x:v>
      </x:c>
      <x:c r="F242" s="40" t="n">
        <x:v>1.8848</x:v>
      </x:c>
      <x:c r="G242" s="40" t="n">
        <x:v>227.1432</x:v>
      </x:c>
      <x:c r="H242" s="44" t="n">
        <x:v>205000</x:v>
      </x:c>
      <x:c r="I242" s="40" t="n">
        <x:v>3.8805748333333336</x:v>
      </x:c>
      <x:c r="J242" s="25" t="str">
        <x:v>SYNTHETIC_ASSUMPTION</x:v>
      </x:c>
    </x:row>
    <x:row r="243">
      <x:c r="A243" s="39" t="n">
        <x:v>45870</x:v>
      </x:c>
      <x:c r="B243" s="25" t="str">
        <x:v>Travel, Lifestyle, Dining &amp; Lounges</x:v>
      </x:c>
      <x:c r="C243" s="25" t="str">
        <x:v>Director</x:v>
      </x:c>
      <x:c r="D243" s="40" t="n">
        <x:v>124.57600000000002</x:v>
      </x:c>
      <x:c r="E243" s="40" t="n">
        <x:v>1.02</x:v>
      </x:c>
      <x:c r="F243" s="40" t="n">
        <x:v>1.0336</x:v>
      </x:c>
      <x:c r="G243" s="40" t="n">
        <x:v>124.56240000000001</x:v>
      </x:c>
      <x:c r="H243" s="44" t="n">
        <x:v>285000</x:v>
      </x:c>
      <x:c r="I243" s="40" t="n">
        <x:v>2.9585185</x:v>
      </x:c>
      <x:c r="J243" s="25" t="str">
        <x:v>SYNTHETIC_ASSUMPTION</x:v>
      </x:c>
    </x:row>
    <x:row r="244">
      <x:c r="A244" s="39" t="n">
        <x:v>45870</x:v>
      </x:c>
      <x:c r="B244" s="25" t="str">
        <x:v>Travel, Lifestyle, Dining &amp; Lounges</x:v>
      </x:c>
      <x:c r="C244" s="25" t="str">
        <x:v>VP+</x:v>
      </x:c>
      <x:c r="D244" s="40" t="n">
        <x:v>43.968</x:v>
      </x:c>
      <x:c r="E244" s="40" t="n">
        <x:v>0.36</x:v>
      </x:c>
      <x:c r="F244" s="40" t="n">
        <x:v>0.3648</x:v>
      </x:c>
      <x:c r="G244" s="40" t="n">
        <x:v>43.9632</x:v>
      </x:c>
      <x:c r="H244" s="44" t="n">
        <x:v>430000</x:v>
      </x:c>
      <x:c r="I244" s="40" t="n">
        <x:v>1.5754339999999998</x:v>
      </x:c>
      <x:c r="J244" s="25" t="str">
        <x:v>SYNTHETIC_ASSUMPTION</x:v>
      </x:c>
    </x:row>
    <x:row r="245">
      <x:c r="A245" s="39" t="n">
        <x:v>45870</x:v>
      </x:c>
      <x:c r="B245" s="25" t="str">
        <x:v>Cobrand Partnerships &amp; Business Development</x:v>
      </x:c>
      <x:c r="C245" s="25" t="str">
        <x:v>Analyst / Associate</x:v>
      </x:c>
      <x:c r="D245" s="40" t="n">
        <x:v>421.36</x:v>
      </x:c>
      <x:c r="E245" s="40" t="n">
        <x:v>3.45</x:v>
      </x:c>
      <x:c r="F245" s="40" t="n">
        <x:v>3.4960000000000004</x:v>
      </x:c>
      <x:c r="G245" s="40" t="n">
        <x:v>421.3140000000001</x:v>
      </x:c>
      <x:c r="H245" s="44" t="n">
        <x:v>145000</x:v>
      </x:c>
      <x:c r="I245" s="40" t="n">
        <x:v>5.091155416666667</x:v>
      </x:c>
      <x:c r="J245" s="25" t="str">
        <x:v>SYNTHETIC_ASSUMPTION</x:v>
      </x:c>
    </x:row>
    <x:row r="246">
      <x:c r="A246" s="39" t="n">
        <x:v>45870</x:v>
      </x:c>
      <x:c r="B246" s="25" t="str">
        <x:v>Cobrand Partnerships &amp; Business Development</x:v>
      </x:c>
      <x:c r="C246" s="25" t="str">
        <x:v>Manager / Senior Manager</x:v>
      </x:c>
      <x:c r="D246" s="40" t="n">
        <x:v>283.96</x:v>
      </x:c>
      <x:c r="E246" s="40" t="n">
        <x:v>2.325</x:v>
      </x:c>
      <x:c r="F246" s="40" t="n">
        <x:v>2.3560000000000003</x:v>
      </x:c>
      <x:c r="G246" s="40" t="n">
        <x:v>283.92900000000003</x:v>
      </x:c>
      <x:c r="H246" s="44" t="n">
        <x:v>205000</x:v>
      </x:c>
      <x:c r="I246" s="40" t="n">
        <x:v>4.850718541666667</x:v>
      </x:c>
      <x:c r="J246" s="25" t="str">
        <x:v>SYNTHETIC_ASSUMPTION</x:v>
      </x:c>
    </x:row>
    <x:row r="247">
      <x:c r="A247" s="39" t="n">
        <x:v>45870</x:v>
      </x:c>
      <x:c r="B247" s="25" t="str">
        <x:v>Cobrand Partnerships &amp; Business Development</x:v>
      </x:c>
      <x:c r="C247" s="25" t="str">
        <x:v>Director</x:v>
      </x:c>
      <x:c r="D247" s="40" t="n">
        <x:v>155.72</x:v>
      </x:c>
      <x:c r="E247" s="40" t="n">
        <x:v>1.2750000000000001</x:v>
      </x:c>
      <x:c r="F247" s="40" t="n">
        <x:v>1.2920000000000003</x:v>
      </x:c>
      <x:c r="G247" s="40" t="n">
        <x:v>155.70300000000003</x:v>
      </x:c>
      <x:c r="H247" s="44" t="n">
        <x:v>285000</x:v>
      </x:c>
      <x:c r="I247" s="40" t="n">
        <x:v>3.6981481250000003</x:v>
      </x:c>
      <x:c r="J247" s="25" t="str">
        <x:v>SYNTHETIC_ASSUMPTION</x:v>
      </x:c>
    </x:row>
    <x:row r="248">
      <x:c r="A248" s="39" t="n">
        <x:v>45870</x:v>
      </x:c>
      <x:c r="B248" s="25" t="str">
        <x:v>Cobrand Partnerships &amp; Business Development</x:v>
      </x:c>
      <x:c r="C248" s="25" t="str">
        <x:v>VP+</x:v>
      </x:c>
      <x:c r="D248" s="40" t="n">
        <x:v>54.96</x:v>
      </x:c>
      <x:c r="E248" s="40" t="n">
        <x:v>0.44999999999999996</x:v>
      </x:c>
      <x:c r="F248" s="40" t="n">
        <x:v>0.456</x:v>
      </x:c>
      <x:c r="G248" s="40" t="n">
        <x:v>54.954</x:v>
      </x:c>
      <x:c r="H248" s="44" t="n">
        <x:v>430000</x:v>
      </x:c>
      <x:c r="I248" s="40" t="n">
        <x:v>1.9692925</x:v>
      </x:c>
      <x:c r="J248" s="25" t="str">
        <x:v>SYNTHETIC_ASSUMPTION</x:v>
      </x:c>
    </x:row>
    <x:row r="249">
      <x:c r="A249" s="39" t="n">
        <x:v>45870</x:v>
      </x:c>
      <x:c r="B249" s="25" t="str">
        <x:v>U.S. Consumer Marketing &amp; Acquisition</x:v>
      </x:c>
      <x:c r="C249" s="25" t="str">
        <x:v>Analyst / Associate</x:v>
      </x:c>
      <x:c r="D249" s="40" t="n">
        <x:v>505.63200000000006</x:v>
      </x:c>
      <x:c r="E249" s="40" t="n">
        <x:v>4.140000000000001</x:v>
      </x:c>
      <x:c r="F249" s="40" t="n">
        <x:v>4.1952</x:v>
      </x:c>
      <x:c r="G249" s="40" t="n">
        <x:v>505.5768</x:v>
      </x:c>
      <x:c r="H249" s="44" t="n">
        <x:v>145000</x:v>
      </x:c>
      <x:c r="I249" s="40" t="n">
        <x:v>6.109386499999999</x:v>
      </x:c>
      <x:c r="J249" s="25" t="str">
        <x:v>SYNTHETIC_ASSUMPTION</x:v>
      </x:c>
    </x:row>
    <x:row r="250">
      <x:c r="A250" s="39" t="n">
        <x:v>45870</x:v>
      </x:c>
      <x:c r="B250" s="25" t="str">
        <x:v>U.S. Consumer Marketing &amp; Acquisition</x:v>
      </x:c>
      <x:c r="C250" s="25" t="str">
        <x:v>Manager / Senior Manager</x:v>
      </x:c>
      <x:c r="D250" s="40" t="n">
        <x:v>340.752</x:v>
      </x:c>
      <x:c r="E250" s="40" t="n">
        <x:v>2.79</x:v>
      </x:c>
      <x:c r="F250" s="40" t="n">
        <x:v>2.8272</x:v>
      </x:c>
      <x:c r="G250" s="40" t="n">
        <x:v>340.71479999999997</x:v>
      </x:c>
      <x:c r="H250" s="44" t="n">
        <x:v>205000</x:v>
      </x:c>
      <x:c r="I250" s="40" t="n">
        <x:v>5.820862249999999</x:v>
      </x:c>
      <x:c r="J250" s="25" t="str">
        <x:v>SYNTHETIC_ASSUMPTION</x:v>
      </x:c>
    </x:row>
    <x:row r="251">
      <x:c r="A251" s="39" t="n">
        <x:v>45870</x:v>
      </x:c>
      <x:c r="B251" s="25" t="str">
        <x:v>U.S. Consumer Marketing &amp; Acquisition</x:v>
      </x:c>
      <x:c r="C251" s="25" t="str">
        <x:v>Director</x:v>
      </x:c>
      <x:c r="D251" s="40" t="n">
        <x:v>186.86400000000003</x:v>
      </x:c>
      <x:c r="E251" s="40" t="n">
        <x:v>1.53</x:v>
      </x:c>
      <x:c r="F251" s="40" t="n">
        <x:v>1.5504</x:v>
      </x:c>
      <x:c r="G251" s="40" t="n">
        <x:v>186.8436</x:v>
      </x:c>
      <x:c r="H251" s="44" t="n">
        <x:v>285000</x:v>
      </x:c>
      <x:c r="I251" s="40" t="n">
        <x:v>4.437777749999999</x:v>
      </x:c>
      <x:c r="J251" s="25" t="str">
        <x:v>SYNTHETIC_ASSUMPTION</x:v>
      </x:c>
    </x:row>
    <x:row r="252">
      <x:c r="A252" s="39" t="n">
        <x:v>45870</x:v>
      </x:c>
      <x:c r="B252" s="25" t="str">
        <x:v>U.S. Consumer Marketing &amp; Acquisition</x:v>
      </x:c>
      <x:c r="C252" s="25" t="str">
        <x:v>VP+</x:v>
      </x:c>
      <x:c r="D252" s="40" t="n">
        <x:v>65.952</x:v>
      </x:c>
      <x:c r="E252" s="40" t="n">
        <x:v>0.54</x:v>
      </x:c>
      <x:c r="F252" s="40" t="n">
        <x:v>0.5471999999999999</x:v>
      </x:c>
      <x:c r="G252" s="40" t="n">
        <x:v>65.94479999999999</x:v>
      </x:c>
      <x:c r="H252" s="44" t="n">
        <x:v>430000</x:v>
      </x:c>
      <x:c r="I252" s="40" t="n">
        <x:v>2.3631509999999993</x:v>
      </x:c>
      <x:c r="J252" s="25" t="str">
        <x:v>SYNTHETIC_ASSUMPTION</x:v>
      </x:c>
    </x:row>
    <x:row r="253">
      <x:c r="A253" s="39" t="n">
        <x:v>45870</x:v>
      </x:c>
      <x:c r="B253" s="25" t="str">
        <x:v>Product, Data &amp; Technology</x:v>
      </x:c>
      <x:c r="C253" s="25" t="str">
        <x:v>Analyst / Associate</x:v>
      </x:c>
      <x:c r="D253" s="40" t="n">
        <x:v>758.448</x:v>
      </x:c>
      <x:c r="E253" s="40" t="n">
        <x:v>6.21</x:v>
      </x:c>
      <x:c r="F253" s="40" t="n">
        <x:v>6.2928</x:v>
      </x:c>
      <x:c r="G253" s="40" t="n">
        <x:v>758.3652</x:v>
      </x:c>
      <x:c r="H253" s="44" t="n">
        <x:v>145000</x:v>
      </x:c>
      <x:c r="I253" s="40" t="n">
        <x:v>9.16407975</x:v>
      </x:c>
      <x:c r="J253" s="25" t="str">
        <x:v>SYNTHETIC_ASSUMPTION</x:v>
      </x:c>
    </x:row>
    <x:row r="254">
      <x:c r="A254" s="39" t="n">
        <x:v>45870</x:v>
      </x:c>
      <x:c r="B254" s="25" t="str">
        <x:v>Product, Data &amp; Technology</x:v>
      </x:c>
      <x:c r="C254" s="25" t="str">
        <x:v>Manager / Senior Manager</x:v>
      </x:c>
      <x:c r="D254" s="40" t="n">
        <x:v>511.128</x:v>
      </x:c>
      <x:c r="E254" s="40" t="n">
        <x:v>4.185</x:v>
      </x:c>
      <x:c r="F254" s="40" t="n">
        <x:v>4.2408</x:v>
      </x:c>
      <x:c r="G254" s="40" t="n">
        <x:v>511.07219999999995</x:v>
      </x:c>
      <x:c r="H254" s="44" t="n">
        <x:v>205000</x:v>
      </x:c>
      <x:c r="I254" s="40" t="n">
        <x:v>8.731293375</x:v>
      </x:c>
      <x:c r="J254" s="25" t="str">
        <x:v>SYNTHETIC_ASSUMPTION</x:v>
      </x:c>
    </x:row>
    <x:row r="255">
      <x:c r="A255" s="39" t="n">
        <x:v>45870</x:v>
      </x:c>
      <x:c r="B255" s="25" t="str">
        <x:v>Product, Data &amp; Technology</x:v>
      </x:c>
      <x:c r="C255" s="25" t="str">
        <x:v>Director</x:v>
      </x:c>
      <x:c r="D255" s="40" t="n">
        <x:v>280.296</x:v>
      </x:c>
      <x:c r="E255" s="40" t="n">
        <x:v>2.2950000000000004</x:v>
      </x:c>
      <x:c r="F255" s="40" t="n">
        <x:v>2.3256</x:v>
      </x:c>
      <x:c r="G255" s="40" t="n">
        <x:v>280.2654</x:v>
      </x:c>
      <x:c r="H255" s="44" t="n">
        <x:v>285000</x:v>
      </x:c>
      <x:c r="I255" s="40" t="n">
        <x:v>6.656666625</x:v>
      </x:c>
      <x:c r="J255" s="25" t="str">
        <x:v>SYNTHETIC_ASSUMPTION</x:v>
      </x:c>
    </x:row>
    <x:row r="256">
      <x:c r="A256" s="39" t="n">
        <x:v>45870</x:v>
      </x:c>
      <x:c r="B256" s="25" t="str">
        <x:v>Product, Data &amp; Technology</x:v>
      </x:c>
      <x:c r="C256" s="25" t="str">
        <x:v>VP+</x:v>
      </x:c>
      <x:c r="D256" s="40" t="n">
        <x:v>98.928</x:v>
      </x:c>
      <x:c r="E256" s="40" t="n">
        <x:v>0.8099999999999999</x:v>
      </x:c>
      <x:c r="F256" s="40" t="n">
        <x:v>0.8208</x:v>
      </x:c>
      <x:c r="G256" s="40" t="n">
        <x:v>98.9172</x:v>
      </x:c>
      <x:c r="H256" s="44" t="n">
        <x:v>430000</x:v>
      </x:c>
      <x:c r="I256" s="40" t="n">
        <x:v>3.5447265</x:v>
      </x:c>
      <x:c r="J256" s="25" t="str">
        <x:v>SYNTHETIC_ASSUMPTION</x:v>
      </x:c>
    </x:row>
    <x:row r="257">
      <x:c r="A257" s="39" t="n">
        <x:v>45870</x:v>
      </x:c>
      <x:c r="B257" s="25" t="str">
        <x:v>Servicing, Operations &amp; Business Support</x:v>
      </x:c>
      <x:c r="C257" s="25" t="str">
        <x:v>Analyst / Associate</x:v>
      </x:c>
      <x:c r="D257" s="40" t="n">
        <x:v>674.176</x:v>
      </x:c>
      <x:c r="E257" s="40" t="n">
        <x:v>5.5200000000000005</x:v>
      </x:c>
      <x:c r="F257" s="40" t="n">
        <x:v>5.5936</x:v>
      </x:c>
      <x:c r="G257" s="40" t="n">
        <x:v>674.1024000000001</x:v>
      </x:c>
      <x:c r="H257" s="44" t="n">
        <x:v>145000</x:v>
      </x:c>
      <x:c r="I257" s="40" t="n">
        <x:v>8.145848666666668</x:v>
      </x:c>
      <x:c r="J257" s="25" t="str">
        <x:v>SYNTHETIC_ASSUMPTION</x:v>
      </x:c>
    </x:row>
    <x:row r="258">
      <x:c r="A258" s="39" t="n">
        <x:v>45870</x:v>
      </x:c>
      <x:c r="B258" s="25" t="str">
        <x:v>Servicing, Operations &amp; Business Support</x:v>
      </x:c>
      <x:c r="C258" s="25" t="str">
        <x:v>Manager / Senior Manager</x:v>
      </x:c>
      <x:c r="D258" s="40" t="n">
        <x:v>454.336</x:v>
      </x:c>
      <x:c r="E258" s="40" t="n">
        <x:v>3.7199999999999998</x:v>
      </x:c>
      <x:c r="F258" s="40" t="n">
        <x:v>3.7696</x:v>
      </x:c>
      <x:c r="G258" s="40" t="n">
        <x:v>454.2864</x:v>
      </x:c>
      <x:c r="H258" s="44" t="n">
        <x:v>205000</x:v>
      </x:c>
      <x:c r="I258" s="40" t="n">
        <x:v>7.761149666666667</x:v>
      </x:c>
      <x:c r="J258" s="25" t="str">
        <x:v>SYNTHETIC_ASSUMPTION</x:v>
      </x:c>
    </x:row>
    <x:row r="259">
      <x:c r="A259" s="39" t="n">
        <x:v>45870</x:v>
      </x:c>
      <x:c r="B259" s="25" t="str">
        <x:v>Servicing, Operations &amp; Business Support</x:v>
      </x:c>
      <x:c r="C259" s="25" t="str">
        <x:v>Director</x:v>
      </x:c>
      <x:c r="D259" s="40" t="n">
        <x:v>249.15200000000004</x:v>
      </x:c>
      <x:c r="E259" s="40" t="n">
        <x:v>2.04</x:v>
      </x:c>
      <x:c r="F259" s="40" t="n">
        <x:v>2.0672</x:v>
      </x:c>
      <x:c r="G259" s="40" t="n">
        <x:v>249.12480000000002</x:v>
      </x:c>
      <x:c r="H259" s="44" t="n">
        <x:v>285000</x:v>
      </x:c>
      <x:c r="I259" s="40" t="n">
        <x:v>5.917037</x:v>
      </x:c>
      <x:c r="J259" s="25" t="str">
        <x:v>SYNTHETIC_ASSUMPTION</x:v>
      </x:c>
    </x:row>
    <x:row r="260">
      <x:c r="A260" s="39" t="n">
        <x:v>45870</x:v>
      </x:c>
      <x:c r="B260" s="25" t="str">
        <x:v>Servicing, Operations &amp; Business Support</x:v>
      </x:c>
      <x:c r="C260" s="25" t="str">
        <x:v>VP+</x:v>
      </x:c>
      <x:c r="D260" s="40" t="n">
        <x:v>87.936</x:v>
      </x:c>
      <x:c r="E260" s="40" t="n">
        <x:v>0.72</x:v>
      </x:c>
      <x:c r="F260" s="40" t="n">
        <x:v>0.7296</x:v>
      </x:c>
      <x:c r="G260" s="40" t="n">
        <x:v>87.9264</x:v>
      </x:c>
      <x:c r="H260" s="44" t="n">
        <x:v>430000</x:v>
      </x:c>
      <x:c r="I260" s="40" t="n">
        <x:v>3.1508679999999996</x:v>
      </x:c>
      <x:c r="J260" s="25" t="str">
        <x:v>SYNTHETIC_ASSUMPTION</x:v>
      </x:c>
    </x:row>
    <x:row r="261">
      <x:c r="A261" s="39" t="n">
        <x:v>45901</x:v>
      </x:c>
      <x:c r="B261" s="25" t="str">
        <x:v>Consumer Card Products &amp; Portfolio</x:v>
      </x:c>
      <x:c r="C261" s="25" t="str">
        <x:v>Analyst / Associate</x:v>
      </x:c>
      <x:c r="D261" s="40" t="n">
        <x:v>505.5768</x:v>
      </x:c>
      <x:c r="E261" s="40" t="n">
        <x:v>3.8640000000000003</x:v>
      </x:c>
      <x:c r="F261" s="40" t="n">
        <x:v>4.3056</x:v>
      </x:c>
      <x:c r="G261" s="40" t="n">
        <x:v>505.1352</x:v>
      </x:c>
      <x:c r="H261" s="44" t="n">
        <x:v>145000</x:v>
      </x:c>
      <x:c r="I261" s="40" t="n">
        <x:v>6.106385</x:v>
      </x:c>
      <x:c r="J261" s="25" t="str">
        <x:v>SYNTHETIC_ASSUMPTION</x:v>
      </x:c>
    </x:row>
    <x:row r="262">
      <x:c r="A262" s="39" t="n">
        <x:v>45901</x:v>
      </x:c>
      <x:c r="B262" s="25" t="str">
        <x:v>Consumer Card Products &amp; Portfolio</x:v>
      </x:c>
      <x:c r="C262" s="25" t="str">
        <x:v>Manager / Senior Manager</x:v>
      </x:c>
      <x:c r="D262" s="40" t="n">
        <x:v>340.71479999999997</x:v>
      </x:c>
      <x:c r="E262" s="40" t="n">
        <x:v>2.604</x:v>
      </x:c>
      <x:c r="F262" s="40" t="n">
        <x:v>2.9015999999999997</x:v>
      </x:c>
      <x:c r="G262" s="40" t="n">
        <x:v>340.4172</x:v>
      </x:c>
      <x:c r="H262" s="44" t="n">
        <x:v>205000</x:v>
      </x:c>
      <x:c r="I262" s="40" t="n">
        <x:v>5.8180025</x:v>
      </x:c>
      <x:c r="J262" s="25" t="str">
        <x:v>SYNTHETIC_ASSUMPTION</x:v>
      </x:c>
    </x:row>
    <x:row r="263">
      <x:c r="A263" s="39" t="n">
        <x:v>45901</x:v>
      </x:c>
      <x:c r="B263" s="25" t="str">
        <x:v>Consumer Card Products &amp; Portfolio</x:v>
      </x:c>
      <x:c r="C263" s="25" t="str">
        <x:v>Director</x:v>
      </x:c>
      <x:c r="D263" s="40" t="n">
        <x:v>186.8436</x:v>
      </x:c>
      <x:c r="E263" s="40" t="n">
        <x:v>1.4280000000000002</x:v>
      </x:c>
      <x:c r="F263" s="40" t="n">
        <x:v>1.5912</x:v>
      </x:c>
      <x:c r="G263" s="40" t="n">
        <x:v>186.6804</x:v>
      </x:c>
      <x:c r="H263" s="44" t="n">
        <x:v>285000</x:v>
      </x:c>
      <x:c r="I263" s="40" t="n">
        <x:v>4.4355975</x:v>
      </x:c>
      <x:c r="J263" s="25" t="str">
        <x:v>SYNTHETIC_ASSUMPTION</x:v>
      </x:c>
    </x:row>
    <x:row r="264">
      <x:c r="A264" s="39" t="n">
        <x:v>45901</x:v>
      </x:c>
      <x:c r="B264" s="25" t="str">
        <x:v>Consumer Card Products &amp; Portfolio</x:v>
      </x:c>
      <x:c r="C264" s="25" t="str">
        <x:v>VP+</x:v>
      </x:c>
      <x:c r="D264" s="40" t="n">
        <x:v>65.94479999999999</x:v>
      </x:c>
      <x:c r="E264" s="40" t="n">
        <x:v>0.504</x:v>
      </x:c>
      <x:c r="F264" s="40" t="n">
        <x:v>0.5616</x:v>
      </x:c>
      <x:c r="G264" s="40" t="n">
        <x:v>65.88719999999999</x:v>
      </x:c>
      <x:c r="H264" s="44" t="n">
        <x:v>430000</x:v>
      </x:c>
      <x:c r="I264" s="40" t="n">
        <x:v>2.36199</x:v>
      </x:c>
      <x:c r="J264" s="25" t="str">
        <x:v>SYNTHETIC_ASSUMPTION</x:v>
      </x:c>
    </x:row>
    <x:row r="265">
      <x:c r="A265" s="39" t="n">
        <x:v>45901</x:v>
      </x:c>
      <x:c r="B265" s="25" t="str">
        <x:v>Lending &amp; U.S. Consumer Banking</x:v>
      </x:c>
      <x:c r="C265" s="25" t="str">
        <x:v>Analyst / Associate</x:v>
      </x:c>
      <x:c r="D265" s="40" t="n">
        <x:v>505.5768</x:v>
      </x:c>
      <x:c r="E265" s="40" t="n">
        <x:v>3.8640000000000003</x:v>
      </x:c>
      <x:c r="F265" s="40" t="n">
        <x:v>4.3056</x:v>
      </x:c>
      <x:c r="G265" s="40" t="n">
        <x:v>505.1352</x:v>
      </x:c>
      <x:c r="H265" s="44" t="n">
        <x:v>145000</x:v>
      </x:c>
      <x:c r="I265" s="40" t="n">
        <x:v>6.106385</x:v>
      </x:c>
      <x:c r="J265" s="25" t="str">
        <x:v>SYNTHETIC_ASSUMPTION</x:v>
      </x:c>
    </x:row>
    <x:row r="266">
      <x:c r="A266" s="39" t="n">
        <x:v>45901</x:v>
      </x:c>
      <x:c r="B266" s="25" t="str">
        <x:v>Lending &amp; U.S. Consumer Banking</x:v>
      </x:c>
      <x:c r="C266" s="25" t="str">
        <x:v>Manager / Senior Manager</x:v>
      </x:c>
      <x:c r="D266" s="40" t="n">
        <x:v>340.71479999999997</x:v>
      </x:c>
      <x:c r="E266" s="40" t="n">
        <x:v>2.604</x:v>
      </x:c>
      <x:c r="F266" s="40" t="n">
        <x:v>2.9015999999999997</x:v>
      </x:c>
      <x:c r="G266" s="40" t="n">
        <x:v>340.4172</x:v>
      </x:c>
      <x:c r="H266" s="44" t="n">
        <x:v>205000</x:v>
      </x:c>
      <x:c r="I266" s="40" t="n">
        <x:v>5.8180025</x:v>
      </x:c>
      <x:c r="J266" s="25" t="str">
        <x:v>SYNTHETIC_ASSUMPTION</x:v>
      </x:c>
    </x:row>
    <x:row r="267">
      <x:c r="A267" s="39" t="n">
        <x:v>45901</x:v>
      </x:c>
      <x:c r="B267" s="25" t="str">
        <x:v>Lending &amp; U.S. Consumer Banking</x:v>
      </x:c>
      <x:c r="C267" s="25" t="str">
        <x:v>Director</x:v>
      </x:c>
      <x:c r="D267" s="40" t="n">
        <x:v>186.8436</x:v>
      </x:c>
      <x:c r="E267" s="40" t="n">
        <x:v>1.4280000000000002</x:v>
      </x:c>
      <x:c r="F267" s="40" t="n">
        <x:v>1.5912</x:v>
      </x:c>
      <x:c r="G267" s="40" t="n">
        <x:v>186.6804</x:v>
      </x:c>
      <x:c r="H267" s="44" t="n">
        <x:v>285000</x:v>
      </x:c>
      <x:c r="I267" s="40" t="n">
        <x:v>4.4355975</x:v>
      </x:c>
      <x:c r="J267" s="25" t="str">
        <x:v>SYNTHETIC_ASSUMPTION</x:v>
      </x:c>
    </x:row>
    <x:row r="268">
      <x:c r="A268" s="39" t="n">
        <x:v>45901</x:v>
      </x:c>
      <x:c r="B268" s="25" t="str">
        <x:v>Lending &amp; U.S. Consumer Banking</x:v>
      </x:c>
      <x:c r="C268" s="25" t="str">
        <x:v>VP+</x:v>
      </x:c>
      <x:c r="D268" s="40" t="n">
        <x:v>65.94479999999999</x:v>
      </x:c>
      <x:c r="E268" s="40" t="n">
        <x:v>0.504</x:v>
      </x:c>
      <x:c r="F268" s="40" t="n">
        <x:v>0.5616</x:v>
      </x:c>
      <x:c r="G268" s="40" t="n">
        <x:v>65.88719999999999</x:v>
      </x:c>
      <x:c r="H268" s="44" t="n">
        <x:v>430000</x:v>
      </x:c>
      <x:c r="I268" s="40" t="n">
        <x:v>2.36199</x:v>
      </x:c>
      <x:c r="J268" s="25" t="str">
        <x:v>SYNTHETIC_ASSUMPTION</x:v>
      </x:c>
    </x:row>
    <x:row r="269">
      <x:c r="A269" s="39" t="n">
        <x:v>45901</x:v>
      </x:c>
      <x:c r="B269" s="25" t="str">
        <x:v>Membership Rewards &amp; Card Member Benefits</x:v>
      </x:c>
      <x:c r="C269" s="25" t="str">
        <x:v>Analyst / Associate</x:v>
      </x:c>
      <x:c r="D269" s="40" t="n">
        <x:v>505.5768</x:v>
      </x:c>
      <x:c r="E269" s="40" t="n">
        <x:v>3.8640000000000003</x:v>
      </x:c>
      <x:c r="F269" s="40" t="n">
        <x:v>4.3056</x:v>
      </x:c>
      <x:c r="G269" s="40" t="n">
        <x:v>505.1352</x:v>
      </x:c>
      <x:c r="H269" s="44" t="n">
        <x:v>145000</x:v>
      </x:c>
      <x:c r="I269" s="40" t="n">
        <x:v>6.106385</x:v>
      </x:c>
      <x:c r="J269" s="25" t="str">
        <x:v>SYNTHETIC_ASSUMPTION</x:v>
      </x:c>
    </x:row>
    <x:row r="270">
      <x:c r="A270" s="39" t="n">
        <x:v>45901</x:v>
      </x:c>
      <x:c r="B270" s="25" t="str">
        <x:v>Membership Rewards &amp; Card Member Benefits</x:v>
      </x:c>
      <x:c r="C270" s="25" t="str">
        <x:v>Manager / Senior Manager</x:v>
      </x:c>
      <x:c r="D270" s="40" t="n">
        <x:v>340.71479999999997</x:v>
      </x:c>
      <x:c r="E270" s="40" t="n">
        <x:v>2.604</x:v>
      </x:c>
      <x:c r="F270" s="40" t="n">
        <x:v>2.9015999999999997</x:v>
      </x:c>
      <x:c r="G270" s="40" t="n">
        <x:v>340.4172</x:v>
      </x:c>
      <x:c r="H270" s="44" t="n">
        <x:v>205000</x:v>
      </x:c>
      <x:c r="I270" s="40" t="n">
        <x:v>5.8180025</x:v>
      </x:c>
      <x:c r="J270" s="25" t="str">
        <x:v>SYNTHETIC_ASSUMPTION</x:v>
      </x:c>
    </x:row>
    <x:row r="271">
      <x:c r="A271" s="39" t="n">
        <x:v>45901</x:v>
      </x:c>
      <x:c r="B271" s="25" t="str">
        <x:v>Membership Rewards &amp; Card Member Benefits</x:v>
      </x:c>
      <x:c r="C271" s="25" t="str">
        <x:v>Director</x:v>
      </x:c>
      <x:c r="D271" s="40" t="n">
        <x:v>186.8436</x:v>
      </x:c>
      <x:c r="E271" s="40" t="n">
        <x:v>1.4280000000000002</x:v>
      </x:c>
      <x:c r="F271" s="40" t="n">
        <x:v>1.5912</x:v>
      </x:c>
      <x:c r="G271" s="40" t="n">
        <x:v>186.6804</x:v>
      </x:c>
      <x:c r="H271" s="44" t="n">
        <x:v>285000</x:v>
      </x:c>
      <x:c r="I271" s="40" t="n">
        <x:v>4.4355975</x:v>
      </x:c>
      <x:c r="J271" s="25" t="str">
        <x:v>SYNTHETIC_ASSUMPTION</x:v>
      </x:c>
    </x:row>
    <x:row r="272">
      <x:c r="A272" s="39" t="n">
        <x:v>45901</x:v>
      </x:c>
      <x:c r="B272" s="25" t="str">
        <x:v>Membership Rewards &amp; Card Member Benefits</x:v>
      </x:c>
      <x:c r="C272" s="25" t="str">
        <x:v>VP+</x:v>
      </x:c>
      <x:c r="D272" s="40" t="n">
        <x:v>65.94479999999999</x:v>
      </x:c>
      <x:c r="E272" s="40" t="n">
        <x:v>0.504</x:v>
      </x:c>
      <x:c r="F272" s="40" t="n">
        <x:v>0.5616</x:v>
      </x:c>
      <x:c r="G272" s="40" t="n">
        <x:v>65.88719999999999</x:v>
      </x:c>
      <x:c r="H272" s="44" t="n">
        <x:v>430000</x:v>
      </x:c>
      <x:c r="I272" s="40" t="n">
        <x:v>2.36199</x:v>
      </x:c>
      <x:c r="J272" s="25" t="str">
        <x:v>SYNTHETIC_ASSUMPTION</x:v>
      </x:c>
    </x:row>
    <x:row r="273">
      <x:c r="A273" s="39" t="n">
        <x:v>45901</x:v>
      </x:c>
      <x:c r="B273" s="25" t="str">
        <x:v>Travel, Lifestyle, Dining &amp; Lounges</x:v>
      </x:c>
      <x:c r="C273" s="25" t="str">
        <x:v>Analyst / Associate</x:v>
      </x:c>
      <x:c r="D273" s="40" t="n">
        <x:v>337.05120000000005</x:v>
      </x:c>
      <x:c r="E273" s="40" t="n">
        <x:v>2.5760000000000005</x:v>
      </x:c>
      <x:c r="F273" s="40" t="n">
        <x:v>2.8704</x:v>
      </x:c>
      <x:c r="G273" s="40" t="n">
        <x:v>336.75680000000006</x:v>
      </x:c>
      <x:c r="H273" s="44" t="n">
        <x:v>145000</x:v>
      </x:c>
      <x:c r="I273" s="40" t="n">
        <x:v>4.070923333333334</x:v>
      </x:c>
      <x:c r="J273" s="25" t="str">
        <x:v>SYNTHETIC_ASSUMPTION</x:v>
      </x:c>
    </x:row>
    <x:row r="274">
      <x:c r="A274" s="39" t="n">
        <x:v>45901</x:v>
      </x:c>
      <x:c r="B274" s="25" t="str">
        <x:v>Travel, Lifestyle, Dining &amp; Lounges</x:v>
      </x:c>
      <x:c r="C274" s="25" t="str">
        <x:v>Manager / Senior Manager</x:v>
      </x:c>
      <x:c r="D274" s="40" t="n">
        <x:v>227.1432</x:v>
      </x:c>
      <x:c r="E274" s="40" t="n">
        <x:v>1.7360000000000002</x:v>
      </x:c>
      <x:c r="F274" s="40" t="n">
        <x:v>1.9344000000000001</x:v>
      </x:c>
      <x:c r="G274" s="40" t="n">
        <x:v>226.94480000000001</x:v>
      </x:c>
      <x:c r="H274" s="44" t="n">
        <x:v>205000</x:v>
      </x:c>
      <x:c r="I274" s="40" t="n">
        <x:v>3.8786683333333336</x:v>
      </x:c>
      <x:c r="J274" s="25" t="str">
        <x:v>SYNTHETIC_ASSUMPTION</x:v>
      </x:c>
    </x:row>
    <x:row r="275">
      <x:c r="A275" s="39" t="n">
        <x:v>45901</x:v>
      </x:c>
      <x:c r="B275" s="25" t="str">
        <x:v>Travel, Lifestyle, Dining &amp; Lounges</x:v>
      </x:c>
      <x:c r="C275" s="25" t="str">
        <x:v>Director</x:v>
      </x:c>
      <x:c r="D275" s="40" t="n">
        <x:v>124.56240000000001</x:v>
      </x:c>
      <x:c r="E275" s="40" t="n">
        <x:v>0.9520000000000002</x:v>
      </x:c>
      <x:c r="F275" s="40" t="n">
        <x:v>1.0608000000000002</x:v>
      </x:c>
      <x:c r="G275" s="40" t="n">
        <x:v>124.45360000000002</x:v>
      </x:c>
      <x:c r="H275" s="44" t="n">
        <x:v>285000</x:v>
      </x:c>
      <x:c r="I275" s="40" t="n">
        <x:v>2.957065</x:v>
      </x:c>
      <x:c r="J275" s="25" t="str">
        <x:v>SYNTHETIC_ASSUMPTION</x:v>
      </x:c>
    </x:row>
    <x:row r="276">
      <x:c r="A276" s="39" t="n">
        <x:v>45901</x:v>
      </x:c>
      <x:c r="B276" s="25" t="str">
        <x:v>Travel, Lifestyle, Dining &amp; Lounges</x:v>
      </x:c>
      <x:c r="C276" s="25" t="str">
        <x:v>VP+</x:v>
      </x:c>
      <x:c r="D276" s="40" t="n">
        <x:v>43.9632</x:v>
      </x:c>
      <x:c r="E276" s="40" t="n">
        <x:v>0.336</x:v>
      </x:c>
      <x:c r="F276" s="40" t="n">
        <x:v>0.3744</x:v>
      </x:c>
      <x:c r="G276" s="40" t="n">
        <x:v>43.9248</x:v>
      </x:c>
      <x:c r="H276" s="44" t="n">
        <x:v>430000</x:v>
      </x:c>
      <x:c r="I276" s="40" t="n">
        <x:v>1.5746599999999997</x:v>
      </x:c>
      <x:c r="J276" s="25" t="str">
        <x:v>SYNTHETIC_ASSUMPTION</x:v>
      </x:c>
    </x:row>
    <x:row r="277">
      <x:c r="A277" s="39" t="n">
        <x:v>45901</x:v>
      </x:c>
      <x:c r="B277" s="25" t="str">
        <x:v>Cobrand Partnerships &amp; Business Development</x:v>
      </x:c>
      <x:c r="C277" s="25" t="str">
        <x:v>Analyst / Associate</x:v>
      </x:c>
      <x:c r="D277" s="40" t="n">
        <x:v>421.3140000000001</x:v>
      </x:c>
      <x:c r="E277" s="40" t="n">
        <x:v>3.22</x:v>
      </x:c>
      <x:c r="F277" s="40" t="n">
        <x:v>3.5880000000000005</x:v>
      </x:c>
      <x:c r="G277" s="40" t="n">
        <x:v>420.946</x:v>
      </x:c>
      <x:c r="H277" s="44" t="n">
        <x:v>145000</x:v>
      </x:c>
      <x:c r="I277" s="40" t="n">
        <x:v>5.088654166666667</x:v>
      </x:c>
      <x:c r="J277" s="25" t="str">
        <x:v>SYNTHETIC_ASSUMPTION</x:v>
      </x:c>
    </x:row>
    <x:row r="278">
      <x:c r="A278" s="39" t="n">
        <x:v>45901</x:v>
      </x:c>
      <x:c r="B278" s="25" t="str">
        <x:v>Cobrand Partnerships &amp; Business Development</x:v>
      </x:c>
      <x:c r="C278" s="25" t="str">
        <x:v>Manager / Senior Manager</x:v>
      </x:c>
      <x:c r="D278" s="40" t="n">
        <x:v>283.92900000000003</x:v>
      </x:c>
      <x:c r="E278" s="40" t="n">
        <x:v>2.17</x:v>
      </x:c>
      <x:c r="F278" s="40" t="n">
        <x:v>2.418</x:v>
      </x:c>
      <x:c r="G278" s="40" t="n">
        <x:v>283.681</x:v>
      </x:c>
      <x:c r="H278" s="44" t="n">
        <x:v>205000</x:v>
      </x:c>
      <x:c r="I278" s="40" t="n">
        <x:v>4.848335416666667</x:v>
      </x:c>
      <x:c r="J278" s="25" t="str">
        <x:v>SYNTHETIC_ASSUMPTION</x:v>
      </x:c>
    </x:row>
    <x:row r="279">
      <x:c r="A279" s="39" t="n">
        <x:v>45901</x:v>
      </x:c>
      <x:c r="B279" s="25" t="str">
        <x:v>Cobrand Partnerships &amp; Business Development</x:v>
      </x:c>
      <x:c r="C279" s="25" t="str">
        <x:v>Director</x:v>
      </x:c>
      <x:c r="D279" s="40" t="n">
        <x:v>155.70300000000003</x:v>
      </x:c>
      <x:c r="E279" s="40" t="n">
        <x:v>1.1900000000000002</x:v>
      </x:c>
      <x:c r="F279" s="40" t="n">
        <x:v>1.3260000000000003</x:v>
      </x:c>
      <x:c r="G279" s="40" t="n">
        <x:v>155.567</x:v>
      </x:c>
      <x:c r="H279" s="44" t="n">
        <x:v>285000</x:v>
      </x:c>
      <x:c r="I279" s="40" t="n">
        <x:v>3.6963312500000005</x:v>
      </x:c>
      <x:c r="J279" s="25" t="str">
        <x:v>SYNTHETIC_ASSUMPTION</x:v>
      </x:c>
    </x:row>
    <x:row r="280">
      <x:c r="A280" s="39" t="n">
        <x:v>45901</x:v>
      </x:c>
      <x:c r="B280" s="25" t="str">
        <x:v>Cobrand Partnerships &amp; Business Development</x:v>
      </x:c>
      <x:c r="C280" s="25" t="str">
        <x:v>VP+</x:v>
      </x:c>
      <x:c r="D280" s="40" t="n">
        <x:v>54.954</x:v>
      </x:c>
      <x:c r="E280" s="40" t="n">
        <x:v>0.42</x:v>
      </x:c>
      <x:c r="F280" s="40" t="n">
        <x:v>0.468</x:v>
      </x:c>
      <x:c r="G280" s="40" t="n">
        <x:v>54.906</x:v>
      </x:c>
      <x:c r="H280" s="44" t="n">
        <x:v>430000</x:v>
      </x:c>
      <x:c r="I280" s="40" t="n">
        <x:v>1.968325</x:v>
      </x:c>
      <x:c r="J280" s="25" t="str">
        <x:v>SYNTHETIC_ASSUMPTION</x:v>
      </x:c>
    </x:row>
    <x:row r="281">
      <x:c r="A281" s="39" t="n">
        <x:v>45901</x:v>
      </x:c>
      <x:c r="B281" s="25" t="str">
        <x:v>U.S. Consumer Marketing &amp; Acquisition</x:v>
      </x:c>
      <x:c r="C281" s="25" t="str">
        <x:v>Analyst / Associate</x:v>
      </x:c>
      <x:c r="D281" s="40" t="n">
        <x:v>505.5768</x:v>
      </x:c>
      <x:c r="E281" s="40" t="n">
        <x:v>3.8640000000000003</x:v>
      </x:c>
      <x:c r="F281" s="40" t="n">
        <x:v>4.3056</x:v>
      </x:c>
      <x:c r="G281" s="40" t="n">
        <x:v>505.1352</x:v>
      </x:c>
      <x:c r="H281" s="44" t="n">
        <x:v>145000</x:v>
      </x:c>
      <x:c r="I281" s="40" t="n">
        <x:v>6.106385</x:v>
      </x:c>
      <x:c r="J281" s="25" t="str">
        <x:v>SYNTHETIC_ASSUMPTION</x:v>
      </x:c>
    </x:row>
    <x:row r="282">
      <x:c r="A282" s="39" t="n">
        <x:v>45901</x:v>
      </x:c>
      <x:c r="B282" s="25" t="str">
        <x:v>U.S. Consumer Marketing &amp; Acquisition</x:v>
      </x:c>
      <x:c r="C282" s="25" t="str">
        <x:v>Manager / Senior Manager</x:v>
      </x:c>
      <x:c r="D282" s="40" t="n">
        <x:v>340.71479999999997</x:v>
      </x:c>
      <x:c r="E282" s="40" t="n">
        <x:v>2.604</x:v>
      </x:c>
      <x:c r="F282" s="40" t="n">
        <x:v>2.9015999999999997</x:v>
      </x:c>
      <x:c r="G282" s="40" t="n">
        <x:v>340.4172</x:v>
      </x:c>
      <x:c r="H282" s="44" t="n">
        <x:v>205000</x:v>
      </x:c>
      <x:c r="I282" s="40" t="n">
        <x:v>5.8180025</x:v>
      </x:c>
      <x:c r="J282" s="25" t="str">
        <x:v>SYNTHETIC_ASSUMPTION</x:v>
      </x:c>
    </x:row>
    <x:row r="283">
      <x:c r="A283" s="39" t="n">
        <x:v>45901</x:v>
      </x:c>
      <x:c r="B283" s="25" t="str">
        <x:v>U.S. Consumer Marketing &amp; Acquisition</x:v>
      </x:c>
      <x:c r="C283" s="25" t="str">
        <x:v>Director</x:v>
      </x:c>
      <x:c r="D283" s="40" t="n">
        <x:v>186.8436</x:v>
      </x:c>
      <x:c r="E283" s="40" t="n">
        <x:v>1.4280000000000002</x:v>
      </x:c>
      <x:c r="F283" s="40" t="n">
        <x:v>1.5912</x:v>
      </x:c>
      <x:c r="G283" s="40" t="n">
        <x:v>186.6804</x:v>
      </x:c>
      <x:c r="H283" s="44" t="n">
        <x:v>285000</x:v>
      </x:c>
      <x:c r="I283" s="40" t="n">
        <x:v>4.4355975</x:v>
      </x:c>
      <x:c r="J283" s="25" t="str">
        <x:v>SYNTHETIC_ASSUMPTION</x:v>
      </x:c>
    </x:row>
    <x:row r="284">
      <x:c r="A284" s="39" t="n">
        <x:v>45901</x:v>
      </x:c>
      <x:c r="B284" s="25" t="str">
        <x:v>U.S. Consumer Marketing &amp; Acquisition</x:v>
      </x:c>
      <x:c r="C284" s="25" t="str">
        <x:v>VP+</x:v>
      </x:c>
      <x:c r="D284" s="40" t="n">
        <x:v>65.94479999999999</x:v>
      </x:c>
      <x:c r="E284" s="40" t="n">
        <x:v>0.504</x:v>
      </x:c>
      <x:c r="F284" s="40" t="n">
        <x:v>0.5616</x:v>
      </x:c>
      <x:c r="G284" s="40" t="n">
        <x:v>65.88719999999999</x:v>
      </x:c>
      <x:c r="H284" s="44" t="n">
        <x:v>430000</x:v>
      </x:c>
      <x:c r="I284" s="40" t="n">
        <x:v>2.36199</x:v>
      </x:c>
      <x:c r="J284" s="25" t="str">
        <x:v>SYNTHETIC_ASSUMPTION</x:v>
      </x:c>
    </x:row>
    <x:row r="285">
      <x:c r="A285" s="39" t="n">
        <x:v>45901</x:v>
      </x:c>
      <x:c r="B285" s="25" t="str">
        <x:v>Product, Data &amp; Technology</x:v>
      </x:c>
      <x:c r="C285" s="25" t="str">
        <x:v>Analyst / Associate</x:v>
      </x:c>
      <x:c r="D285" s="40" t="n">
        <x:v>758.3652</x:v>
      </x:c>
      <x:c r="E285" s="40" t="n">
        <x:v>5.796</x:v>
      </x:c>
      <x:c r="F285" s="40" t="n">
        <x:v>6.4584</x:v>
      </x:c>
      <x:c r="G285" s="40" t="n">
        <x:v>757.7027999999999</x:v>
      </x:c>
      <x:c r="H285" s="44" t="n">
        <x:v>145000</x:v>
      </x:c>
      <x:c r="I285" s="40" t="n">
        <x:v>9.1595775</x:v>
      </x:c>
      <x:c r="J285" s="25" t="str">
        <x:v>SYNTHETIC_ASSUMPTION</x:v>
      </x:c>
    </x:row>
    <x:row r="286">
      <x:c r="A286" s="39" t="n">
        <x:v>45901</x:v>
      </x:c>
      <x:c r="B286" s="25" t="str">
        <x:v>Product, Data &amp; Technology</x:v>
      </x:c>
      <x:c r="C286" s="25" t="str">
        <x:v>Manager / Senior Manager</x:v>
      </x:c>
      <x:c r="D286" s="40" t="n">
        <x:v>511.07219999999995</x:v>
      </x:c>
      <x:c r="E286" s="40" t="n">
        <x:v>3.9059999999999997</x:v>
      </x:c>
      <x:c r="F286" s="40" t="n">
        <x:v>4.352399999999999</x:v>
      </x:c>
      <x:c r="G286" s="40" t="n">
        <x:v>510.62579999999997</x:v>
      </x:c>
      <x:c r="H286" s="44" t="n">
        <x:v>205000</x:v>
      </x:c>
      <x:c r="I286" s="40" t="n">
        <x:v>8.727003749999998</x:v>
      </x:c>
      <x:c r="J286" s="25" t="str">
        <x:v>SYNTHETIC_ASSUMPTION</x:v>
      </x:c>
    </x:row>
    <x:row r="287">
      <x:c r="A287" s="39" t="n">
        <x:v>45901</x:v>
      </x:c>
      <x:c r="B287" s="25" t="str">
        <x:v>Product, Data &amp; Technology</x:v>
      </x:c>
      <x:c r="C287" s="25" t="str">
        <x:v>Director</x:v>
      </x:c>
      <x:c r="D287" s="40" t="n">
        <x:v>280.2654</x:v>
      </x:c>
      <x:c r="E287" s="40" t="n">
        <x:v>2.142</x:v>
      </x:c>
      <x:c r="F287" s="40" t="n">
        <x:v>2.3868</x:v>
      </x:c>
      <x:c r="G287" s="40" t="n">
        <x:v>280.0206</x:v>
      </x:c>
      <x:c r="H287" s="44" t="n">
        <x:v>285000</x:v>
      </x:c>
      <x:c r="I287" s="40" t="n">
        <x:v>6.653396249999999</x:v>
      </x:c>
      <x:c r="J287" s="25" t="str">
        <x:v>SYNTHETIC_ASSUMPTION</x:v>
      </x:c>
    </x:row>
    <x:row r="288">
      <x:c r="A288" s="39" t="n">
        <x:v>45901</x:v>
      </x:c>
      <x:c r="B288" s="25" t="str">
        <x:v>Product, Data &amp; Technology</x:v>
      </x:c>
      <x:c r="C288" s="25" t="str">
        <x:v>VP+</x:v>
      </x:c>
      <x:c r="D288" s="40" t="n">
        <x:v>98.9172</x:v>
      </x:c>
      <x:c r="E288" s="40" t="n">
        <x:v>0.756</x:v>
      </x:c>
      <x:c r="F288" s="40" t="n">
        <x:v>0.8423999999999999</x:v>
      </x:c>
      <x:c r="G288" s="40" t="n">
        <x:v>98.83079999999998</x:v>
      </x:c>
      <x:c r="H288" s="44" t="n">
        <x:v>430000</x:v>
      </x:c>
      <x:c r="I288" s="40" t="n">
        <x:v>3.542985</x:v>
      </x:c>
      <x:c r="J288" s="25" t="str">
        <x:v>SYNTHETIC_ASSUMPTION</x:v>
      </x:c>
    </x:row>
    <x:row r="289">
      <x:c r="A289" s="39" t="n">
        <x:v>45901</x:v>
      </x:c>
      <x:c r="B289" s="25" t="str">
        <x:v>Servicing, Operations &amp; Business Support</x:v>
      </x:c>
      <x:c r="C289" s="25" t="str">
        <x:v>Analyst / Associate</x:v>
      </x:c>
      <x:c r="D289" s="40" t="n">
        <x:v>674.1024000000001</x:v>
      </x:c>
      <x:c r="E289" s="40" t="n">
        <x:v>5.152000000000001</x:v>
      </x:c>
      <x:c r="F289" s="40" t="n">
        <x:v>5.7408</x:v>
      </x:c>
      <x:c r="G289" s="40" t="n">
        <x:v>673.5136000000001</x:v>
      </x:c>
      <x:c r="H289" s="44" t="n">
        <x:v>145000</x:v>
      </x:c>
      <x:c r="I289" s="40" t="n">
        <x:v>8.141846666666668</x:v>
      </x:c>
      <x:c r="J289" s="25" t="str">
        <x:v>SYNTHETIC_ASSUMPTION</x:v>
      </x:c>
    </x:row>
    <x:row r="290">
      <x:c r="A290" s="39" t="n">
        <x:v>45901</x:v>
      </x:c>
      <x:c r="B290" s="25" t="str">
        <x:v>Servicing, Operations &amp; Business Support</x:v>
      </x:c>
      <x:c r="C290" s="25" t="str">
        <x:v>Manager / Senior Manager</x:v>
      </x:c>
      <x:c r="D290" s="40" t="n">
        <x:v>454.2864</x:v>
      </x:c>
      <x:c r="E290" s="40" t="n">
        <x:v>3.4720000000000004</x:v>
      </x:c>
      <x:c r="F290" s="40" t="n">
        <x:v>3.8688000000000002</x:v>
      </x:c>
      <x:c r="G290" s="40" t="n">
        <x:v>453.88960000000003</x:v>
      </x:c>
      <x:c r="H290" s="44" t="n">
        <x:v>205000</x:v>
      </x:c>
      <x:c r="I290" s="40" t="n">
        <x:v>7.757336666666667</x:v>
      </x:c>
      <x:c r="J290" s="25" t="str">
        <x:v>SYNTHETIC_ASSUMPTION</x:v>
      </x:c>
    </x:row>
    <x:row r="291">
      <x:c r="A291" s="39" t="n">
        <x:v>45901</x:v>
      </x:c>
      <x:c r="B291" s="25" t="str">
        <x:v>Servicing, Operations &amp; Business Support</x:v>
      </x:c>
      <x:c r="C291" s="25" t="str">
        <x:v>Director</x:v>
      </x:c>
      <x:c r="D291" s="40" t="n">
        <x:v>249.12480000000002</x:v>
      </x:c>
      <x:c r="E291" s="40" t="n">
        <x:v>1.9040000000000004</x:v>
      </x:c>
      <x:c r="F291" s="40" t="n">
        <x:v>2.1216000000000004</x:v>
      </x:c>
      <x:c r="G291" s="40" t="n">
        <x:v>248.90720000000005</x:v>
      </x:c>
      <x:c r="H291" s="44" t="n">
        <x:v>285000</x:v>
      </x:c>
      <x:c r="I291" s="40" t="n">
        <x:v>5.91413</x:v>
      </x:c>
      <x:c r="J291" s="25" t="str">
        <x:v>SYNTHETIC_ASSUMPTION</x:v>
      </x:c>
    </x:row>
    <x:row r="292">
      <x:c r="A292" s="39" t="n">
        <x:v>45901</x:v>
      </x:c>
      <x:c r="B292" s="25" t="str">
        <x:v>Servicing, Operations &amp; Business Support</x:v>
      </x:c>
      <x:c r="C292" s="25" t="str">
        <x:v>VP+</x:v>
      </x:c>
      <x:c r="D292" s="40" t="n">
        <x:v>87.9264</x:v>
      </x:c>
      <x:c r="E292" s="40" t="n">
        <x:v>0.672</x:v>
      </x:c>
      <x:c r="F292" s="40" t="n">
        <x:v>0.7488</x:v>
      </x:c>
      <x:c r="G292" s="40" t="n">
        <x:v>87.8496</x:v>
      </x:c>
      <x:c r="H292" s="44" t="n">
        <x:v>430000</x:v>
      </x:c>
      <x:c r="I292" s="40" t="n">
        <x:v>3.1493199999999995</x:v>
      </x:c>
      <x:c r="J292" s="25" t="str">
        <x:v>SYNTHETIC_ASSUMPTION</x:v>
      </x:c>
    </x:row>
    <x:row r="293">
      <x:c r="A293" s="39" t="n">
        <x:v>45931</x:v>
      </x:c>
      <x:c r="B293" s="25" t="str">
        <x:v>Consumer Card Products &amp; Portfolio</x:v>
      </x:c>
      <x:c r="C293" s="25" t="str">
        <x:v>Analyst / Associate</x:v>
      </x:c>
      <x:c r="D293" s="40" t="n">
        <x:v>505.1352</x:v>
      </x:c>
      <x:c r="E293" s="40" t="n">
        <x:v>3.588</x:v>
      </x:c>
      <x:c r="F293" s="40" t="n">
        <x:v>4.416</x:v>
      </x:c>
      <x:c r="G293" s="40" t="n">
        <x:v>504.30719999999997</x:v>
      </x:c>
      <x:c r="H293" s="44" t="n">
        <x:v>145000</x:v>
      </x:c>
      <x:c r="I293" s="40" t="n">
        <x:v>6.0987145</x:v>
      </x:c>
      <x:c r="J293" s="25" t="str">
        <x:v>SYNTHETIC_ASSUMPTION</x:v>
      </x:c>
    </x:row>
    <x:row r="294">
      <x:c r="A294" s="39" t="n">
        <x:v>45931</x:v>
      </x:c>
      <x:c r="B294" s="25" t="str">
        <x:v>Consumer Card Products &amp; Portfolio</x:v>
      </x:c>
      <x:c r="C294" s="25" t="str">
        <x:v>Manager / Senior Manager</x:v>
      </x:c>
      <x:c r="D294" s="40" t="n">
        <x:v>340.4172</x:v>
      </x:c>
      <x:c r="E294" s="40" t="n">
        <x:v>2.418</x:v>
      </x:c>
      <x:c r="F294" s="40" t="n">
        <x:v>2.976</x:v>
      </x:c>
      <x:c r="G294" s="40" t="n">
        <x:v>339.8592</x:v>
      </x:c>
      <x:c r="H294" s="44" t="n">
        <x:v>205000</x:v>
      </x:c>
      <x:c r="I294" s="40" t="n">
        <x:v>5.81069425</x:v>
      </x:c>
      <x:c r="J294" s="25" t="str">
        <x:v>SYNTHETIC_ASSUMPTION</x:v>
      </x:c>
    </x:row>
    <x:row r="295">
      <x:c r="A295" s="39" t="n">
        <x:v>45931</x:v>
      </x:c>
      <x:c r="B295" s="25" t="str">
        <x:v>Consumer Card Products &amp; Portfolio</x:v>
      </x:c>
      <x:c r="C295" s="25" t="str">
        <x:v>Director</x:v>
      </x:c>
      <x:c r="D295" s="40" t="n">
        <x:v>186.6804</x:v>
      </x:c>
      <x:c r="E295" s="40" t="n">
        <x:v>1.326</x:v>
      </x:c>
      <x:c r="F295" s="40" t="n">
        <x:v>1.6320000000000001</x:v>
      </x:c>
      <x:c r="G295" s="40" t="n">
        <x:v>186.3744</x:v>
      </x:c>
      <x:c r="H295" s="44" t="n">
        <x:v>285000</x:v>
      </x:c>
      <x:c r="I295" s="40" t="n">
        <x:v>4.430025750000001</x:v>
      </x:c>
      <x:c r="J295" s="25" t="str">
        <x:v>SYNTHETIC_ASSUMPTION</x:v>
      </x:c>
    </x:row>
    <x:row r="296">
      <x:c r="A296" s="39" t="n">
        <x:v>45931</x:v>
      </x:c>
      <x:c r="B296" s="25" t="str">
        <x:v>Consumer Card Products &amp; Portfolio</x:v>
      </x:c>
      <x:c r="C296" s="25" t="str">
        <x:v>VP+</x:v>
      </x:c>
      <x:c r="D296" s="40" t="n">
        <x:v>65.88719999999999</x:v>
      </x:c>
      <x:c r="E296" s="40" t="n">
        <x:v>0.46799999999999997</x:v>
      </x:c>
      <x:c r="F296" s="40" t="n">
        <x:v>0.576</x:v>
      </x:c>
      <x:c r="G296" s="40" t="n">
        <x:v>65.77919999999999</x:v>
      </x:c>
      <x:c r="H296" s="44" t="n">
        <x:v>430000</x:v>
      </x:c>
      <x:c r="I296" s="40" t="n">
        <x:v>2.3590230000000005</x:v>
      </x:c>
      <x:c r="J296" s="25" t="str">
        <x:v>SYNTHETIC_ASSUMPTION</x:v>
      </x:c>
    </x:row>
    <x:row r="297">
      <x:c r="A297" s="39" t="n">
        <x:v>45931</x:v>
      </x:c>
      <x:c r="B297" s="25" t="str">
        <x:v>Lending &amp; U.S. Consumer Banking</x:v>
      </x:c>
      <x:c r="C297" s="25" t="str">
        <x:v>Analyst / Associate</x:v>
      </x:c>
      <x:c r="D297" s="40" t="n">
        <x:v>505.1352</x:v>
      </x:c>
      <x:c r="E297" s="40" t="n">
        <x:v>3.588</x:v>
      </x:c>
      <x:c r="F297" s="40" t="n">
        <x:v>4.416</x:v>
      </x:c>
      <x:c r="G297" s="40" t="n">
        <x:v>504.30719999999997</x:v>
      </x:c>
      <x:c r="H297" s="44" t="n">
        <x:v>145000</x:v>
      </x:c>
      <x:c r="I297" s="40" t="n">
        <x:v>6.0987145</x:v>
      </x:c>
      <x:c r="J297" s="25" t="str">
        <x:v>SYNTHETIC_ASSUMPTION</x:v>
      </x:c>
    </x:row>
    <x:row r="298">
      <x:c r="A298" s="39" t="n">
        <x:v>45931</x:v>
      </x:c>
      <x:c r="B298" s="25" t="str">
        <x:v>Lending &amp; U.S. Consumer Banking</x:v>
      </x:c>
      <x:c r="C298" s="25" t="str">
        <x:v>Manager / Senior Manager</x:v>
      </x:c>
      <x:c r="D298" s="40" t="n">
        <x:v>340.4172</x:v>
      </x:c>
      <x:c r="E298" s="40" t="n">
        <x:v>2.418</x:v>
      </x:c>
      <x:c r="F298" s="40" t="n">
        <x:v>2.976</x:v>
      </x:c>
      <x:c r="G298" s="40" t="n">
        <x:v>339.8592</x:v>
      </x:c>
      <x:c r="H298" s="44" t="n">
        <x:v>205000</x:v>
      </x:c>
      <x:c r="I298" s="40" t="n">
        <x:v>5.81069425</x:v>
      </x:c>
      <x:c r="J298" s="25" t="str">
        <x:v>SYNTHETIC_ASSUMPTION</x:v>
      </x:c>
    </x:row>
    <x:row r="299">
      <x:c r="A299" s="39" t="n">
        <x:v>45931</x:v>
      </x:c>
      <x:c r="B299" s="25" t="str">
        <x:v>Lending &amp; U.S. Consumer Banking</x:v>
      </x:c>
      <x:c r="C299" s="25" t="str">
        <x:v>Director</x:v>
      </x:c>
      <x:c r="D299" s="40" t="n">
        <x:v>186.6804</x:v>
      </x:c>
      <x:c r="E299" s="40" t="n">
        <x:v>1.326</x:v>
      </x:c>
      <x:c r="F299" s="40" t="n">
        <x:v>1.6320000000000001</x:v>
      </x:c>
      <x:c r="G299" s="40" t="n">
        <x:v>186.3744</x:v>
      </x:c>
      <x:c r="H299" s="44" t="n">
        <x:v>285000</x:v>
      </x:c>
      <x:c r="I299" s="40" t="n">
        <x:v>4.430025750000001</x:v>
      </x:c>
      <x:c r="J299" s="25" t="str">
        <x:v>SYNTHETIC_ASSUMPTION</x:v>
      </x:c>
    </x:row>
    <x:row r="300">
      <x:c r="A300" s="39" t="n">
        <x:v>45931</x:v>
      </x:c>
      <x:c r="B300" s="25" t="str">
        <x:v>Lending &amp; U.S. Consumer Banking</x:v>
      </x:c>
      <x:c r="C300" s="25" t="str">
        <x:v>VP+</x:v>
      </x:c>
      <x:c r="D300" s="40" t="n">
        <x:v>65.88719999999999</x:v>
      </x:c>
      <x:c r="E300" s="40" t="n">
        <x:v>0.46799999999999997</x:v>
      </x:c>
      <x:c r="F300" s="40" t="n">
        <x:v>0.576</x:v>
      </x:c>
      <x:c r="G300" s="40" t="n">
        <x:v>65.77919999999999</x:v>
      </x:c>
      <x:c r="H300" s="44" t="n">
        <x:v>430000</x:v>
      </x:c>
      <x:c r="I300" s="40" t="n">
        <x:v>2.3590230000000005</x:v>
      </x:c>
      <x:c r="J300" s="25" t="str">
        <x:v>SYNTHETIC_ASSUMPTION</x:v>
      </x:c>
    </x:row>
    <x:row r="301">
      <x:c r="A301" s="39" t="n">
        <x:v>45931</x:v>
      </x:c>
      <x:c r="B301" s="25" t="str">
        <x:v>Membership Rewards &amp; Card Member Benefits</x:v>
      </x:c>
      <x:c r="C301" s="25" t="str">
        <x:v>Analyst / Associate</x:v>
      </x:c>
      <x:c r="D301" s="40" t="n">
        <x:v>505.1352</x:v>
      </x:c>
      <x:c r="E301" s="40" t="n">
        <x:v>3.588</x:v>
      </x:c>
      <x:c r="F301" s="40" t="n">
        <x:v>4.416</x:v>
      </x:c>
      <x:c r="G301" s="40" t="n">
        <x:v>504.30719999999997</x:v>
      </x:c>
      <x:c r="H301" s="44" t="n">
        <x:v>145000</x:v>
      </x:c>
      <x:c r="I301" s="40" t="n">
        <x:v>6.0987145</x:v>
      </x:c>
      <x:c r="J301" s="25" t="str">
        <x:v>SYNTHETIC_ASSUMPTION</x:v>
      </x:c>
    </x:row>
    <x:row r="302">
      <x:c r="A302" s="39" t="n">
        <x:v>45931</x:v>
      </x:c>
      <x:c r="B302" s="25" t="str">
        <x:v>Membership Rewards &amp; Card Member Benefits</x:v>
      </x:c>
      <x:c r="C302" s="25" t="str">
        <x:v>Manager / Senior Manager</x:v>
      </x:c>
      <x:c r="D302" s="40" t="n">
        <x:v>340.4172</x:v>
      </x:c>
      <x:c r="E302" s="40" t="n">
        <x:v>2.418</x:v>
      </x:c>
      <x:c r="F302" s="40" t="n">
        <x:v>2.976</x:v>
      </x:c>
      <x:c r="G302" s="40" t="n">
        <x:v>339.8592</x:v>
      </x:c>
      <x:c r="H302" s="44" t="n">
        <x:v>205000</x:v>
      </x:c>
      <x:c r="I302" s="40" t="n">
        <x:v>5.81069425</x:v>
      </x:c>
      <x:c r="J302" s="25" t="str">
        <x:v>SYNTHETIC_ASSUMPTION</x:v>
      </x:c>
    </x:row>
    <x:row r="303">
      <x:c r="A303" s="39" t="n">
        <x:v>45931</x:v>
      </x:c>
      <x:c r="B303" s="25" t="str">
        <x:v>Membership Rewards &amp; Card Member Benefits</x:v>
      </x:c>
      <x:c r="C303" s="25" t="str">
        <x:v>Director</x:v>
      </x:c>
      <x:c r="D303" s="40" t="n">
        <x:v>186.6804</x:v>
      </x:c>
      <x:c r="E303" s="40" t="n">
        <x:v>1.326</x:v>
      </x:c>
      <x:c r="F303" s="40" t="n">
        <x:v>1.6320000000000001</x:v>
      </x:c>
      <x:c r="G303" s="40" t="n">
        <x:v>186.3744</x:v>
      </x:c>
      <x:c r="H303" s="44" t="n">
        <x:v>285000</x:v>
      </x:c>
      <x:c r="I303" s="40" t="n">
        <x:v>4.430025750000001</x:v>
      </x:c>
      <x:c r="J303" s="25" t="str">
        <x:v>SYNTHETIC_ASSUMPTION</x:v>
      </x:c>
    </x:row>
    <x:row r="304">
      <x:c r="A304" s="39" t="n">
        <x:v>45931</x:v>
      </x:c>
      <x:c r="B304" s="25" t="str">
        <x:v>Membership Rewards &amp; Card Member Benefits</x:v>
      </x:c>
      <x:c r="C304" s="25" t="str">
        <x:v>VP+</x:v>
      </x:c>
      <x:c r="D304" s="40" t="n">
        <x:v>65.88719999999999</x:v>
      </x:c>
      <x:c r="E304" s="40" t="n">
        <x:v>0.46799999999999997</x:v>
      </x:c>
      <x:c r="F304" s="40" t="n">
        <x:v>0.576</x:v>
      </x:c>
      <x:c r="G304" s="40" t="n">
        <x:v>65.77919999999999</x:v>
      </x:c>
      <x:c r="H304" s="44" t="n">
        <x:v>430000</x:v>
      </x:c>
      <x:c r="I304" s="40" t="n">
        <x:v>2.3590230000000005</x:v>
      </x:c>
      <x:c r="J304" s="25" t="str">
        <x:v>SYNTHETIC_ASSUMPTION</x:v>
      </x:c>
    </x:row>
    <x:row r="305">
      <x:c r="A305" s="39" t="n">
        <x:v>45931</x:v>
      </x:c>
      <x:c r="B305" s="25" t="str">
        <x:v>Travel, Lifestyle, Dining &amp; Lounges</x:v>
      </x:c>
      <x:c r="C305" s="25" t="str">
        <x:v>Analyst / Associate</x:v>
      </x:c>
      <x:c r="D305" s="40" t="n">
        <x:v>336.75680000000006</x:v>
      </x:c>
      <x:c r="E305" s="40" t="n">
        <x:v>2.3920000000000003</x:v>
      </x:c>
      <x:c r="F305" s="40" t="n">
        <x:v>2.9440000000000004</x:v>
      </x:c>
      <x:c r="G305" s="40" t="n">
        <x:v>336.20480000000003</x:v>
      </x:c>
      <x:c r="H305" s="44" t="n">
        <x:v>145000</x:v>
      </x:c>
      <x:c r="I305" s="40" t="n">
        <x:v>4.065809666666667</x:v>
      </x:c>
      <x:c r="J305" s="25" t="str">
        <x:v>SYNTHETIC_ASSUMPTION</x:v>
      </x:c>
    </x:row>
    <x:row r="306">
      <x:c r="A306" s="39" t="n">
        <x:v>45931</x:v>
      </x:c>
      <x:c r="B306" s="25" t="str">
        <x:v>Travel, Lifestyle, Dining &amp; Lounges</x:v>
      </x:c>
      <x:c r="C306" s="25" t="str">
        <x:v>Manager / Senior Manager</x:v>
      </x:c>
      <x:c r="D306" s="40" t="n">
        <x:v>226.94480000000001</x:v>
      </x:c>
      <x:c r="E306" s="40" t="n">
        <x:v>1.612</x:v>
      </x:c>
      <x:c r="F306" s="40" t="n">
        <x:v>1.984</x:v>
      </x:c>
      <x:c r="G306" s="40" t="n">
        <x:v>226.5728</x:v>
      </x:c>
      <x:c r="H306" s="44" t="n">
        <x:v>205000</x:v>
      </x:c>
      <x:c r="I306" s="40" t="n">
        <x:v>3.8737961666666667</x:v>
      </x:c>
      <x:c r="J306" s="25" t="str">
        <x:v>SYNTHETIC_ASSUMPTION</x:v>
      </x:c>
    </x:row>
    <x:row r="307">
      <x:c r="A307" s="39" t="n">
        <x:v>45931</x:v>
      </x:c>
      <x:c r="B307" s="25" t="str">
        <x:v>Travel, Lifestyle, Dining &amp; Lounges</x:v>
      </x:c>
      <x:c r="C307" s="25" t="str">
        <x:v>Director</x:v>
      </x:c>
      <x:c r="D307" s="40" t="n">
        <x:v>124.45360000000002</x:v>
      </x:c>
      <x:c r="E307" s="40" t="n">
        <x:v>0.8840000000000001</x:v>
      </x:c>
      <x:c r="F307" s="40" t="n">
        <x:v>1.088</x:v>
      </x:c>
      <x:c r="G307" s="40" t="n">
        <x:v>124.24960000000002</x:v>
      </x:c>
      <x:c r="H307" s="44" t="n">
        <x:v>285000</x:v>
      </x:c>
      <x:c r="I307" s="40" t="n">
        <x:v>2.9533505000000004</x:v>
      </x:c>
      <x:c r="J307" s="25" t="str">
        <x:v>SYNTHETIC_ASSUMPTION</x:v>
      </x:c>
    </x:row>
    <x:row r="308">
      <x:c r="A308" s="39" t="n">
        <x:v>45931</x:v>
      </x:c>
      <x:c r="B308" s="25" t="str">
        <x:v>Travel, Lifestyle, Dining &amp; Lounges</x:v>
      </x:c>
      <x:c r="C308" s="25" t="str">
        <x:v>VP+</x:v>
      </x:c>
      <x:c r="D308" s="40" t="n">
        <x:v>43.9248</x:v>
      </x:c>
      <x:c r="E308" s="40" t="n">
        <x:v>0.312</x:v>
      </x:c>
      <x:c r="F308" s="40" t="n">
        <x:v>0.384</x:v>
      </x:c>
      <x:c r="G308" s="40" t="n">
        <x:v>43.852799999999995</x:v>
      </x:c>
      <x:c r="H308" s="44" t="n">
        <x:v>430000</x:v>
      </x:c>
      <x:c r="I308" s="40" t="n">
        <x:v>1.572682</x:v>
      </x:c>
      <x:c r="J308" s="25" t="str">
        <x:v>SYNTHETIC_ASSUMPTION</x:v>
      </x:c>
    </x:row>
    <x:row r="309">
      <x:c r="A309" s="39" t="n">
        <x:v>45931</x:v>
      </x:c>
      <x:c r="B309" s="25" t="str">
        <x:v>Cobrand Partnerships &amp; Business Development</x:v>
      </x:c>
      <x:c r="C309" s="25" t="str">
        <x:v>Analyst / Associate</x:v>
      </x:c>
      <x:c r="D309" s="40" t="n">
        <x:v>420.946</x:v>
      </x:c>
      <x:c r="E309" s="40" t="n">
        <x:v>2.99</x:v>
      </x:c>
      <x:c r="F309" s="40" t="n">
        <x:v>3.68</x:v>
      </x:c>
      <x:c r="G309" s="40" t="n">
        <x:v>420.25600000000003</x:v>
      </x:c>
      <x:c r="H309" s="44" t="n">
        <x:v>145000</x:v>
      </x:c>
      <x:c r="I309" s="40" t="n">
        <x:v>5.082262083333334</x:v>
      </x:c>
      <x:c r="J309" s="25" t="str">
        <x:v>SYNTHETIC_ASSUMPTION</x:v>
      </x:c>
    </x:row>
    <x:row r="310">
      <x:c r="A310" s="39" t="n">
        <x:v>45931</x:v>
      </x:c>
      <x:c r="B310" s="25" t="str">
        <x:v>Cobrand Partnerships &amp; Business Development</x:v>
      </x:c>
      <x:c r="C310" s="25" t="str">
        <x:v>Manager / Senior Manager</x:v>
      </x:c>
      <x:c r="D310" s="40" t="n">
        <x:v>283.681</x:v>
      </x:c>
      <x:c r="E310" s="40" t="n">
        <x:v>2.015</x:v>
      </x:c>
      <x:c r="F310" s="40" t="n">
        <x:v>2.48</x:v>
      </x:c>
      <x:c r="G310" s="40" t="n">
        <x:v>283.216</x:v>
      </x:c>
      <x:c r="H310" s="44" t="n">
        <x:v>205000</x:v>
      </x:c>
      <x:c r="I310" s="40" t="n">
        <x:v>4.842245208333334</x:v>
      </x:c>
      <x:c r="J310" s="25" t="str">
        <x:v>SYNTHETIC_ASSUMPTION</x:v>
      </x:c>
    </x:row>
    <x:row r="311">
      <x:c r="A311" s="39" t="n">
        <x:v>45931</x:v>
      </x:c>
      <x:c r="B311" s="25" t="str">
        <x:v>Cobrand Partnerships &amp; Business Development</x:v>
      </x:c>
      <x:c r="C311" s="25" t="str">
        <x:v>Director</x:v>
      </x:c>
      <x:c r="D311" s="40" t="n">
        <x:v>155.567</x:v>
      </x:c>
      <x:c r="E311" s="40" t="n">
        <x:v>1.105</x:v>
      </x:c>
      <x:c r="F311" s="40" t="n">
        <x:v>1.36</x:v>
      </x:c>
      <x:c r="G311" s="40" t="n">
        <x:v>155.312</x:v>
      </x:c>
      <x:c r="H311" s="44" t="n">
        <x:v>285000</x:v>
      </x:c>
      <x:c r="I311" s="40" t="n">
        <x:v>3.691688125</x:v>
      </x:c>
      <x:c r="J311" s="25" t="str">
        <x:v>SYNTHETIC_ASSUMPTION</x:v>
      </x:c>
    </x:row>
    <x:row r="312">
      <x:c r="A312" s="39" t="n">
        <x:v>45931</x:v>
      </x:c>
      <x:c r="B312" s="25" t="str">
        <x:v>Cobrand Partnerships &amp; Business Development</x:v>
      </x:c>
      <x:c r="C312" s="25" t="str">
        <x:v>VP+</x:v>
      </x:c>
      <x:c r="D312" s="40" t="n">
        <x:v>54.906</x:v>
      </x:c>
      <x:c r="E312" s="40" t="n">
        <x:v>0.39</x:v>
      </x:c>
      <x:c r="F312" s="40" t="n">
        <x:v>0.48</x:v>
      </x:c>
      <x:c r="G312" s="40" t="n">
        <x:v>54.816</x:v>
      </x:c>
      <x:c r="H312" s="44" t="n">
        <x:v>430000</x:v>
      </x:c>
      <x:c r="I312" s="40" t="n">
        <x:v>1.9658525</x:v>
      </x:c>
      <x:c r="J312" s="25" t="str">
        <x:v>SYNTHETIC_ASSUMPTION</x:v>
      </x:c>
    </x:row>
    <x:row r="313">
      <x:c r="A313" s="39" t="n">
        <x:v>45931</x:v>
      </x:c>
      <x:c r="B313" s="25" t="str">
        <x:v>U.S. Consumer Marketing &amp; Acquisition</x:v>
      </x:c>
      <x:c r="C313" s="25" t="str">
        <x:v>Analyst / Associate</x:v>
      </x:c>
      <x:c r="D313" s="40" t="n">
        <x:v>505.1352</x:v>
      </x:c>
      <x:c r="E313" s="40" t="n">
        <x:v>3.588</x:v>
      </x:c>
      <x:c r="F313" s="40" t="n">
        <x:v>4.416</x:v>
      </x:c>
      <x:c r="G313" s="40" t="n">
        <x:v>504.30719999999997</x:v>
      </x:c>
      <x:c r="H313" s="44" t="n">
        <x:v>145000</x:v>
      </x:c>
      <x:c r="I313" s="40" t="n">
        <x:v>6.0987145</x:v>
      </x:c>
      <x:c r="J313" s="25" t="str">
        <x:v>SYNTHETIC_ASSUMPTION</x:v>
      </x:c>
    </x:row>
    <x:row r="314">
      <x:c r="A314" s="39" t="n">
        <x:v>45931</x:v>
      </x:c>
      <x:c r="B314" s="25" t="str">
        <x:v>U.S. Consumer Marketing &amp; Acquisition</x:v>
      </x:c>
      <x:c r="C314" s="25" t="str">
        <x:v>Manager / Senior Manager</x:v>
      </x:c>
      <x:c r="D314" s="40" t="n">
        <x:v>340.4172</x:v>
      </x:c>
      <x:c r="E314" s="40" t="n">
        <x:v>2.418</x:v>
      </x:c>
      <x:c r="F314" s="40" t="n">
        <x:v>2.976</x:v>
      </x:c>
      <x:c r="G314" s="40" t="n">
        <x:v>339.8592</x:v>
      </x:c>
      <x:c r="H314" s="44" t="n">
        <x:v>205000</x:v>
      </x:c>
      <x:c r="I314" s="40" t="n">
        <x:v>5.81069425</x:v>
      </x:c>
      <x:c r="J314" s="25" t="str">
        <x:v>SYNTHETIC_ASSUMPTION</x:v>
      </x:c>
    </x:row>
    <x:row r="315">
      <x:c r="A315" s="39" t="n">
        <x:v>45931</x:v>
      </x:c>
      <x:c r="B315" s="25" t="str">
        <x:v>U.S. Consumer Marketing &amp; Acquisition</x:v>
      </x:c>
      <x:c r="C315" s="25" t="str">
        <x:v>Director</x:v>
      </x:c>
      <x:c r="D315" s="40" t="n">
        <x:v>186.6804</x:v>
      </x:c>
      <x:c r="E315" s="40" t="n">
        <x:v>1.326</x:v>
      </x:c>
      <x:c r="F315" s="40" t="n">
        <x:v>1.6320000000000001</x:v>
      </x:c>
      <x:c r="G315" s="40" t="n">
        <x:v>186.3744</x:v>
      </x:c>
      <x:c r="H315" s="44" t="n">
        <x:v>285000</x:v>
      </x:c>
      <x:c r="I315" s="40" t="n">
        <x:v>4.430025750000001</x:v>
      </x:c>
      <x:c r="J315" s="25" t="str">
        <x:v>SYNTHETIC_ASSUMPTION</x:v>
      </x:c>
    </x:row>
    <x:row r="316">
      <x:c r="A316" s="39" t="n">
        <x:v>45931</x:v>
      </x:c>
      <x:c r="B316" s="25" t="str">
        <x:v>U.S. Consumer Marketing &amp; Acquisition</x:v>
      </x:c>
      <x:c r="C316" s="25" t="str">
        <x:v>VP+</x:v>
      </x:c>
      <x:c r="D316" s="40" t="n">
        <x:v>65.88719999999999</x:v>
      </x:c>
      <x:c r="E316" s="40" t="n">
        <x:v>0.46799999999999997</x:v>
      </x:c>
      <x:c r="F316" s="40" t="n">
        <x:v>0.576</x:v>
      </x:c>
      <x:c r="G316" s="40" t="n">
        <x:v>65.77919999999999</x:v>
      </x:c>
      <x:c r="H316" s="44" t="n">
        <x:v>430000</x:v>
      </x:c>
      <x:c r="I316" s="40" t="n">
        <x:v>2.3590230000000005</x:v>
      </x:c>
      <x:c r="J316" s="25" t="str">
        <x:v>SYNTHETIC_ASSUMPTION</x:v>
      </x:c>
    </x:row>
    <x:row r="317">
      <x:c r="A317" s="39" t="n">
        <x:v>45931</x:v>
      </x:c>
      <x:c r="B317" s="25" t="str">
        <x:v>Product, Data &amp; Technology</x:v>
      </x:c>
      <x:c r="C317" s="25" t="str">
        <x:v>Analyst / Associate</x:v>
      </x:c>
      <x:c r="D317" s="40" t="n">
        <x:v>757.7027999999999</x:v>
      </x:c>
      <x:c r="E317" s="40" t="n">
        <x:v>5.382</x:v>
      </x:c>
      <x:c r="F317" s="40" t="n">
        <x:v>6.624</x:v>
      </x:c>
      <x:c r="G317" s="40" t="n">
        <x:v>756.4608000000001</x:v>
      </x:c>
      <x:c r="H317" s="44" t="n">
        <x:v>145000</x:v>
      </x:c>
      <x:c r="I317" s="40" t="n">
        <x:v>9.14807175</x:v>
      </x:c>
      <x:c r="J317" s="25" t="str">
        <x:v>SYNTHETIC_ASSUMPTION</x:v>
      </x:c>
    </x:row>
    <x:row r="318">
      <x:c r="A318" s="39" t="n">
        <x:v>45931</x:v>
      </x:c>
      <x:c r="B318" s="25" t="str">
        <x:v>Product, Data &amp; Technology</x:v>
      </x:c>
      <x:c r="C318" s="25" t="str">
        <x:v>Manager / Senior Manager</x:v>
      </x:c>
      <x:c r="D318" s="40" t="n">
        <x:v>510.62579999999997</x:v>
      </x:c>
      <x:c r="E318" s="40" t="n">
        <x:v>3.627</x:v>
      </x:c>
      <x:c r="F318" s="40" t="n">
        <x:v>4.4639999999999995</x:v>
      </x:c>
      <x:c r="G318" s="40" t="n">
        <x:v>509.7888</x:v>
      </x:c>
      <x:c r="H318" s="44" t="n">
        <x:v>205000</x:v>
      </x:c>
      <x:c r="I318" s="40" t="n">
        <x:v>8.716041375</x:v>
      </x:c>
      <x:c r="J318" s="25" t="str">
        <x:v>SYNTHETIC_ASSUMPTION</x:v>
      </x:c>
    </x:row>
    <x:row r="319">
      <x:c r="A319" s="39" t="n">
        <x:v>45931</x:v>
      </x:c>
      <x:c r="B319" s="25" t="str">
        <x:v>Product, Data &amp; Technology</x:v>
      </x:c>
      <x:c r="C319" s="25" t="str">
        <x:v>Director</x:v>
      </x:c>
      <x:c r="D319" s="40" t="n">
        <x:v>280.0206</x:v>
      </x:c>
      <x:c r="E319" s="40" t="n">
        <x:v>1.989</x:v>
      </x:c>
      <x:c r="F319" s="40" t="n">
        <x:v>2.448</x:v>
      </x:c>
      <x:c r="G319" s="40" t="n">
        <x:v>279.5616</x:v>
      </x:c>
      <x:c r="H319" s="44" t="n">
        <x:v>285000</x:v>
      </x:c>
      <x:c r="I319" s="40" t="n">
        <x:v>6.645038625000001</x:v>
      </x:c>
      <x:c r="J319" s="25" t="str">
        <x:v>SYNTHETIC_ASSUMPTION</x:v>
      </x:c>
    </x:row>
    <x:row r="320">
      <x:c r="A320" s="39" t="n">
        <x:v>45931</x:v>
      </x:c>
      <x:c r="B320" s="25" t="str">
        <x:v>Product, Data &amp; Technology</x:v>
      </x:c>
      <x:c r="C320" s="25" t="str">
        <x:v>VP+</x:v>
      </x:c>
      <x:c r="D320" s="40" t="n">
        <x:v>98.83079999999998</x:v>
      </x:c>
      <x:c r="E320" s="40" t="n">
        <x:v>0.702</x:v>
      </x:c>
      <x:c r="F320" s="40" t="n">
        <x:v>0.8639999999999999</x:v>
      </x:c>
      <x:c r="G320" s="40" t="n">
        <x:v>98.6688</x:v>
      </x:c>
      <x:c r="H320" s="44" t="n">
        <x:v>430000</x:v>
      </x:c>
      <x:c r="I320" s="40" t="n">
        <x:v>3.5385345</x:v>
      </x:c>
      <x:c r="J320" s="25" t="str">
        <x:v>SYNTHETIC_ASSUMPTION</x:v>
      </x:c>
    </x:row>
    <x:row r="321">
      <x:c r="A321" s="39" t="n">
        <x:v>45931</x:v>
      </x:c>
      <x:c r="B321" s="25" t="str">
        <x:v>Servicing, Operations &amp; Business Support</x:v>
      </x:c>
      <x:c r="C321" s="25" t="str">
        <x:v>Analyst / Associate</x:v>
      </x:c>
      <x:c r="D321" s="40" t="n">
        <x:v>673.5136000000001</x:v>
      </x:c>
      <x:c r="E321" s="40" t="n">
        <x:v>4.784000000000001</x:v>
      </x:c>
      <x:c r="F321" s="40" t="n">
        <x:v>5.888000000000001</x:v>
      </x:c>
      <x:c r="G321" s="40" t="n">
        <x:v>672.4096000000001</x:v>
      </x:c>
      <x:c r="H321" s="44" t="n">
        <x:v>145000</x:v>
      </x:c>
      <x:c r="I321" s="40" t="n">
        <x:v>8.131619333333335</x:v>
      </x:c>
      <x:c r="J321" s="25" t="str">
        <x:v>SYNTHETIC_ASSUMPTION</x:v>
      </x:c>
    </x:row>
    <x:row r="322">
      <x:c r="A322" s="39" t="n">
        <x:v>45931</x:v>
      </x:c>
      <x:c r="B322" s="25" t="str">
        <x:v>Servicing, Operations &amp; Business Support</x:v>
      </x:c>
      <x:c r="C322" s="25" t="str">
        <x:v>Manager / Senior Manager</x:v>
      </x:c>
      <x:c r="D322" s="40" t="n">
        <x:v>453.88960000000003</x:v>
      </x:c>
      <x:c r="E322" s="40" t="n">
        <x:v>3.224</x:v>
      </x:c>
      <x:c r="F322" s="40" t="n">
        <x:v>3.968</x:v>
      </x:c>
      <x:c r="G322" s="40" t="n">
        <x:v>453.1456</x:v>
      </x:c>
      <x:c r="H322" s="44" t="n">
        <x:v>205000</x:v>
      </x:c>
      <x:c r="I322" s="40" t="n">
        <x:v>7.747592333333333</x:v>
      </x:c>
      <x:c r="J322" s="25" t="str">
        <x:v>SYNTHETIC_ASSUMPTION</x:v>
      </x:c>
    </x:row>
    <x:row r="323">
      <x:c r="A323" s="39" t="n">
        <x:v>45931</x:v>
      </x:c>
      <x:c r="B323" s="25" t="str">
        <x:v>Servicing, Operations &amp; Business Support</x:v>
      </x:c>
      <x:c r="C323" s="25" t="str">
        <x:v>Director</x:v>
      </x:c>
      <x:c r="D323" s="40" t="n">
        <x:v>248.90720000000005</x:v>
      </x:c>
      <x:c r="E323" s="40" t="n">
        <x:v>1.7680000000000002</x:v>
      </x:c>
      <x:c r="F323" s="40" t="n">
        <x:v>2.176</x:v>
      </x:c>
      <x:c r="G323" s="40" t="n">
        <x:v>248.49920000000003</x:v>
      </x:c>
      <x:c r="H323" s="44" t="n">
        <x:v>285000</x:v>
      </x:c>
      <x:c r="I323" s="40" t="n">
        <x:v>5.906701000000001</x:v>
      </x:c>
      <x:c r="J323" s="25" t="str">
        <x:v>SYNTHETIC_ASSUMPTION</x:v>
      </x:c>
    </x:row>
    <x:row r="324">
      <x:c r="A324" s="39" t="n">
        <x:v>45931</x:v>
      </x:c>
      <x:c r="B324" s="25" t="str">
        <x:v>Servicing, Operations &amp; Business Support</x:v>
      </x:c>
      <x:c r="C324" s="25" t="str">
        <x:v>VP+</x:v>
      </x:c>
      <x:c r="D324" s="40" t="n">
        <x:v>87.8496</x:v>
      </x:c>
      <x:c r="E324" s="40" t="n">
        <x:v>0.624</x:v>
      </x:c>
      <x:c r="F324" s="40" t="n">
        <x:v>0.768</x:v>
      </x:c>
      <x:c r="G324" s="40" t="n">
        <x:v>87.70559999999999</x:v>
      </x:c>
      <x:c r="H324" s="44" t="n">
        <x:v>430000</x:v>
      </x:c>
      <x:c r="I324" s="40" t="n">
        <x:v>3.145364</x:v>
      </x:c>
      <x:c r="J324" s="25" t="str">
        <x:v>SYNTHETIC_ASSUMPTION</x:v>
      </x:c>
    </x:row>
    <x:row r="325">
      <x:c r="A325" s="39" t="n">
        <x:v>45962</x:v>
      </x:c>
      <x:c r="B325" s="25" t="str">
        <x:v>Consumer Card Products &amp; Portfolio</x:v>
      </x:c>
      <x:c r="C325" s="25" t="str">
        <x:v>Analyst / Associate</x:v>
      </x:c>
      <x:c r="D325" s="40" t="n">
        <x:v>504.30719999999997</x:v>
      </x:c>
      <x:c r="E325" s="40" t="n">
        <x:v>3.036</x:v>
      </x:c>
      <x:c r="F325" s="40" t="n">
        <x:v>4.5264</x:v>
      </x:c>
      <x:c r="G325" s="40" t="n">
        <x:v>502.8168</x:v>
      </x:c>
      <x:c r="H325" s="44" t="n">
        <x:v>145000</x:v>
      </x:c>
      <x:c r="I325" s="40" t="n">
        <x:v>6.084707500000001</x:v>
      </x:c>
      <x:c r="J325" s="25" t="str">
        <x:v>SYNTHETIC_ASSUMPTION</x:v>
      </x:c>
    </x:row>
    <x:row r="326">
      <x:c r="A326" s="39" t="n">
        <x:v>45962</x:v>
      </x:c>
      <x:c r="B326" s="25" t="str">
        <x:v>Consumer Card Products &amp; Portfolio</x:v>
      </x:c>
      <x:c r="C326" s="25" t="str">
        <x:v>Manager / Senior Manager</x:v>
      </x:c>
      <x:c r="D326" s="40" t="n">
        <x:v>339.8592</x:v>
      </x:c>
      <x:c r="E326" s="40" t="n">
        <x:v>2.046</x:v>
      </x:c>
      <x:c r="F326" s="40" t="n">
        <x:v>3.0504</x:v>
      </x:c>
      <x:c r="G326" s="40" t="n">
        <x:v>338.85479999999995</x:v>
      </x:c>
      <x:c r="H326" s="44" t="n">
        <x:v>205000</x:v>
      </x:c>
      <x:c r="I326" s="40" t="n">
        <x:v>5.79734875</x:v>
      </x:c>
      <x:c r="J326" s="25" t="str">
        <x:v>SYNTHETIC_ASSUMPTION</x:v>
      </x:c>
    </x:row>
    <x:row r="327">
      <x:c r="A327" s="39" t="n">
        <x:v>45962</x:v>
      </x:c>
      <x:c r="B327" s="25" t="str">
        <x:v>Consumer Card Products &amp; Portfolio</x:v>
      </x:c>
      <x:c r="C327" s="25" t="str">
        <x:v>Director</x:v>
      </x:c>
      <x:c r="D327" s="40" t="n">
        <x:v>186.3744</x:v>
      </x:c>
      <x:c r="E327" s="40" t="n">
        <x:v>1.122</x:v>
      </x:c>
      <x:c r="F327" s="40" t="n">
        <x:v>1.6728</x:v>
      </x:c>
      <x:c r="G327" s="40" t="n">
        <x:v>185.8236</x:v>
      </x:c>
      <x:c r="H327" s="44" t="n">
        <x:v>285000</x:v>
      </x:c>
      <x:c r="I327" s="40" t="n">
        <x:v>4.419851250000001</x:v>
      </x:c>
      <x:c r="J327" s="25" t="str">
        <x:v>SYNTHETIC_ASSUMPTION</x:v>
      </x:c>
    </x:row>
    <x:row r="328">
      <x:c r="A328" s="39" t="n">
        <x:v>45962</x:v>
      </x:c>
      <x:c r="B328" s="25" t="str">
        <x:v>Consumer Card Products &amp; Portfolio</x:v>
      </x:c>
      <x:c r="C328" s="25" t="str">
        <x:v>VP+</x:v>
      </x:c>
      <x:c r="D328" s="40" t="n">
        <x:v>65.77919999999999</x:v>
      </x:c>
      <x:c r="E328" s="40" t="n">
        <x:v>0.39599999999999996</x:v>
      </x:c>
      <x:c r="F328" s="40" t="n">
        <x:v>0.5903999999999999</x:v>
      </x:c>
      <x:c r="G328" s="40" t="n">
        <x:v>65.58479999999999</x:v>
      </x:c>
      <x:c r="H328" s="44" t="n">
        <x:v>430000</x:v>
      </x:c>
      <x:c r="I328" s="40" t="n">
        <x:v>2.353605</x:v>
      </x:c>
      <x:c r="J328" s="25" t="str">
        <x:v>SYNTHETIC_ASSUMPTION</x:v>
      </x:c>
    </x:row>
    <x:row r="329">
      <x:c r="A329" s="39" t="n">
        <x:v>45962</x:v>
      </x:c>
      <x:c r="B329" s="25" t="str">
        <x:v>Lending &amp; U.S. Consumer Banking</x:v>
      </x:c>
      <x:c r="C329" s="25" t="str">
        <x:v>Analyst / Associate</x:v>
      </x:c>
      <x:c r="D329" s="40" t="n">
        <x:v>504.30719999999997</x:v>
      </x:c>
      <x:c r="E329" s="40" t="n">
        <x:v>3.036</x:v>
      </x:c>
      <x:c r="F329" s="40" t="n">
        <x:v>4.5264</x:v>
      </x:c>
      <x:c r="G329" s="40" t="n">
        <x:v>502.8168</x:v>
      </x:c>
      <x:c r="H329" s="44" t="n">
        <x:v>145000</x:v>
      </x:c>
      <x:c r="I329" s="40" t="n">
        <x:v>6.084707500000001</x:v>
      </x:c>
      <x:c r="J329" s="25" t="str">
        <x:v>SYNTHETIC_ASSUMPTION</x:v>
      </x:c>
    </x:row>
    <x:row r="330">
      <x:c r="A330" s="39" t="n">
        <x:v>45962</x:v>
      </x:c>
      <x:c r="B330" s="25" t="str">
        <x:v>Lending &amp; U.S. Consumer Banking</x:v>
      </x:c>
      <x:c r="C330" s="25" t="str">
        <x:v>Manager / Senior Manager</x:v>
      </x:c>
      <x:c r="D330" s="40" t="n">
        <x:v>339.8592</x:v>
      </x:c>
      <x:c r="E330" s="40" t="n">
        <x:v>2.046</x:v>
      </x:c>
      <x:c r="F330" s="40" t="n">
        <x:v>3.0504</x:v>
      </x:c>
      <x:c r="G330" s="40" t="n">
        <x:v>338.85479999999995</x:v>
      </x:c>
      <x:c r="H330" s="44" t="n">
        <x:v>205000</x:v>
      </x:c>
      <x:c r="I330" s="40" t="n">
        <x:v>5.79734875</x:v>
      </x:c>
      <x:c r="J330" s="25" t="str">
        <x:v>SYNTHETIC_ASSUMPTION</x:v>
      </x:c>
    </x:row>
    <x:row r="331">
      <x:c r="A331" s="39" t="n">
        <x:v>45962</x:v>
      </x:c>
      <x:c r="B331" s="25" t="str">
        <x:v>Lending &amp; U.S. Consumer Banking</x:v>
      </x:c>
      <x:c r="C331" s="25" t="str">
        <x:v>Director</x:v>
      </x:c>
      <x:c r="D331" s="40" t="n">
        <x:v>186.3744</x:v>
      </x:c>
      <x:c r="E331" s="40" t="n">
        <x:v>1.122</x:v>
      </x:c>
      <x:c r="F331" s="40" t="n">
        <x:v>1.6728</x:v>
      </x:c>
      <x:c r="G331" s="40" t="n">
        <x:v>185.8236</x:v>
      </x:c>
      <x:c r="H331" s="44" t="n">
        <x:v>285000</x:v>
      </x:c>
      <x:c r="I331" s="40" t="n">
        <x:v>4.419851250000001</x:v>
      </x:c>
      <x:c r="J331" s="25" t="str">
        <x:v>SYNTHETIC_ASSUMPTION</x:v>
      </x:c>
    </x:row>
    <x:row r="332">
      <x:c r="A332" s="39" t="n">
        <x:v>45962</x:v>
      </x:c>
      <x:c r="B332" s="25" t="str">
        <x:v>Lending &amp; U.S. Consumer Banking</x:v>
      </x:c>
      <x:c r="C332" s="25" t="str">
        <x:v>VP+</x:v>
      </x:c>
      <x:c r="D332" s="40" t="n">
        <x:v>65.77919999999999</x:v>
      </x:c>
      <x:c r="E332" s="40" t="n">
        <x:v>0.39599999999999996</x:v>
      </x:c>
      <x:c r="F332" s="40" t="n">
        <x:v>0.5903999999999999</x:v>
      </x:c>
      <x:c r="G332" s="40" t="n">
        <x:v>65.58479999999999</x:v>
      </x:c>
      <x:c r="H332" s="44" t="n">
        <x:v>430000</x:v>
      </x:c>
      <x:c r="I332" s="40" t="n">
        <x:v>2.353605</x:v>
      </x:c>
      <x:c r="J332" s="25" t="str">
        <x:v>SYNTHETIC_ASSUMPTION</x:v>
      </x:c>
    </x:row>
    <x:row r="333">
      <x:c r="A333" s="39" t="n">
        <x:v>45962</x:v>
      </x:c>
      <x:c r="B333" s="25" t="str">
        <x:v>Membership Rewards &amp; Card Member Benefits</x:v>
      </x:c>
      <x:c r="C333" s="25" t="str">
        <x:v>Analyst / Associate</x:v>
      </x:c>
      <x:c r="D333" s="40" t="n">
        <x:v>504.30719999999997</x:v>
      </x:c>
      <x:c r="E333" s="40" t="n">
        <x:v>3.036</x:v>
      </x:c>
      <x:c r="F333" s="40" t="n">
        <x:v>4.5264</x:v>
      </x:c>
      <x:c r="G333" s="40" t="n">
        <x:v>502.8168</x:v>
      </x:c>
      <x:c r="H333" s="44" t="n">
        <x:v>145000</x:v>
      </x:c>
      <x:c r="I333" s="40" t="n">
        <x:v>6.084707500000001</x:v>
      </x:c>
      <x:c r="J333" s="25" t="str">
        <x:v>SYNTHETIC_ASSUMPTION</x:v>
      </x:c>
    </x:row>
    <x:row r="334">
      <x:c r="A334" s="39" t="n">
        <x:v>45962</x:v>
      </x:c>
      <x:c r="B334" s="25" t="str">
        <x:v>Membership Rewards &amp; Card Member Benefits</x:v>
      </x:c>
      <x:c r="C334" s="25" t="str">
        <x:v>Manager / Senior Manager</x:v>
      </x:c>
      <x:c r="D334" s="40" t="n">
        <x:v>339.8592</x:v>
      </x:c>
      <x:c r="E334" s="40" t="n">
        <x:v>2.046</x:v>
      </x:c>
      <x:c r="F334" s="40" t="n">
        <x:v>3.0504</x:v>
      </x:c>
      <x:c r="G334" s="40" t="n">
        <x:v>338.85479999999995</x:v>
      </x:c>
      <x:c r="H334" s="44" t="n">
        <x:v>205000</x:v>
      </x:c>
      <x:c r="I334" s="40" t="n">
        <x:v>5.79734875</x:v>
      </x:c>
      <x:c r="J334" s="25" t="str">
        <x:v>SYNTHETIC_ASSUMPTION</x:v>
      </x:c>
    </x:row>
    <x:row r="335">
      <x:c r="A335" s="39" t="n">
        <x:v>45962</x:v>
      </x:c>
      <x:c r="B335" s="25" t="str">
        <x:v>Membership Rewards &amp; Card Member Benefits</x:v>
      </x:c>
      <x:c r="C335" s="25" t="str">
        <x:v>Director</x:v>
      </x:c>
      <x:c r="D335" s="40" t="n">
        <x:v>186.3744</x:v>
      </x:c>
      <x:c r="E335" s="40" t="n">
        <x:v>1.122</x:v>
      </x:c>
      <x:c r="F335" s="40" t="n">
        <x:v>1.6728</x:v>
      </x:c>
      <x:c r="G335" s="40" t="n">
        <x:v>185.8236</x:v>
      </x:c>
      <x:c r="H335" s="44" t="n">
        <x:v>285000</x:v>
      </x:c>
      <x:c r="I335" s="40" t="n">
        <x:v>4.419851250000001</x:v>
      </x:c>
      <x:c r="J335" s="25" t="str">
        <x:v>SYNTHETIC_ASSUMPTION</x:v>
      </x:c>
    </x:row>
    <x:row r="336">
      <x:c r="A336" s="39" t="n">
        <x:v>45962</x:v>
      </x:c>
      <x:c r="B336" s="25" t="str">
        <x:v>Membership Rewards &amp; Card Member Benefits</x:v>
      </x:c>
      <x:c r="C336" s="25" t="str">
        <x:v>VP+</x:v>
      </x:c>
      <x:c r="D336" s="40" t="n">
        <x:v>65.77919999999999</x:v>
      </x:c>
      <x:c r="E336" s="40" t="n">
        <x:v>0.39599999999999996</x:v>
      </x:c>
      <x:c r="F336" s="40" t="n">
        <x:v>0.5903999999999999</x:v>
      </x:c>
      <x:c r="G336" s="40" t="n">
        <x:v>65.58479999999999</x:v>
      </x:c>
      <x:c r="H336" s="44" t="n">
        <x:v>430000</x:v>
      </x:c>
      <x:c r="I336" s="40" t="n">
        <x:v>2.353605</x:v>
      </x:c>
      <x:c r="J336" s="25" t="str">
        <x:v>SYNTHETIC_ASSUMPTION</x:v>
      </x:c>
    </x:row>
    <x:row r="337">
      <x:c r="A337" s="39" t="n">
        <x:v>45962</x:v>
      </x:c>
      <x:c r="B337" s="25" t="str">
        <x:v>Travel, Lifestyle, Dining &amp; Lounges</x:v>
      </x:c>
      <x:c r="C337" s="25" t="str">
        <x:v>Analyst / Associate</x:v>
      </x:c>
      <x:c r="D337" s="40" t="n">
        <x:v>336.20480000000003</x:v>
      </x:c>
      <x:c r="E337" s="40" t="n">
        <x:v>2.0240000000000005</x:v>
      </x:c>
      <x:c r="F337" s="40" t="n">
        <x:v>3.0176000000000003</x:v>
      </x:c>
      <x:c r="G337" s="40" t="n">
        <x:v>335.2112</x:v>
      </x:c>
      <x:c r="H337" s="44" t="n">
        <x:v>145000</x:v>
      </x:c>
      <x:c r="I337" s="40" t="n">
        <x:v>4.056471666666668</x:v>
      </x:c>
      <x:c r="J337" s="25" t="str">
        <x:v>SYNTHETIC_ASSUMPTION</x:v>
      </x:c>
    </x:row>
    <x:row r="338">
      <x:c r="A338" s="39" t="n">
        <x:v>45962</x:v>
      </x:c>
      <x:c r="B338" s="25" t="str">
        <x:v>Travel, Lifestyle, Dining &amp; Lounges</x:v>
      </x:c>
      <x:c r="C338" s="25" t="str">
        <x:v>Manager / Senior Manager</x:v>
      </x:c>
      <x:c r="D338" s="40" t="n">
        <x:v>226.5728</x:v>
      </x:c>
      <x:c r="E338" s="40" t="n">
        <x:v>1.364</x:v>
      </x:c>
      <x:c r="F338" s="40" t="n">
        <x:v>2.0336000000000003</x:v>
      </x:c>
      <x:c r="G338" s="40" t="n">
        <x:v>225.9032</x:v>
      </x:c>
      <x:c r="H338" s="44" t="n">
        <x:v>205000</x:v>
      </x:c>
      <x:c r="I338" s="40" t="n">
        <x:v>3.8648991666666674</x:v>
      </x:c>
      <x:c r="J338" s="25" t="str">
        <x:v>SYNTHETIC_ASSUMPTION</x:v>
      </x:c>
    </x:row>
    <x:row r="339">
      <x:c r="A339" s="39" t="n">
        <x:v>45962</x:v>
      </x:c>
      <x:c r="B339" s="25" t="str">
        <x:v>Travel, Lifestyle, Dining &amp; Lounges</x:v>
      </x:c>
      <x:c r="C339" s="25" t="str">
        <x:v>Director</x:v>
      </x:c>
      <x:c r="D339" s="40" t="n">
        <x:v>124.24960000000002</x:v>
      </x:c>
      <x:c r="E339" s="40" t="n">
        <x:v>0.7480000000000001</x:v>
      </x:c>
      <x:c r="F339" s="40" t="n">
        <x:v>1.1152000000000002</x:v>
      </x:c>
      <x:c r="G339" s="40" t="n">
        <x:v>123.88240000000002</x:v>
      </x:c>
      <x:c r="H339" s="44" t="n">
        <x:v>285000</x:v>
      </x:c>
      <x:c r="I339" s="40" t="n">
        <x:v>2.9465675000000005</x:v>
      </x:c>
      <x:c r="J339" s="25" t="str">
        <x:v>SYNTHETIC_ASSUMPTION</x:v>
      </x:c>
    </x:row>
    <x:row r="340">
      <x:c r="A340" s="39" t="n">
        <x:v>45962</x:v>
      </x:c>
      <x:c r="B340" s="25" t="str">
        <x:v>Travel, Lifestyle, Dining &amp; Lounges</x:v>
      </x:c>
      <x:c r="C340" s="25" t="str">
        <x:v>VP+</x:v>
      </x:c>
      <x:c r="D340" s="40" t="n">
        <x:v>43.852799999999995</x:v>
      </x:c>
      <x:c r="E340" s="40" t="n">
        <x:v>0.264</x:v>
      </x:c>
      <x:c r="F340" s="40" t="n">
        <x:v>0.3936</x:v>
      </x:c>
      <x:c r="G340" s="40" t="n">
        <x:v>43.7232</x:v>
      </x:c>
      <x:c r="H340" s="44" t="n">
        <x:v>430000</x:v>
      </x:c>
      <x:c r="I340" s="40" t="n">
        <x:v>1.56907</x:v>
      </x:c>
      <x:c r="J340" s="25" t="str">
        <x:v>SYNTHETIC_ASSUMPTION</x:v>
      </x:c>
    </x:row>
    <x:row r="341">
      <x:c r="A341" s="39" t="n">
        <x:v>45962</x:v>
      </x:c>
      <x:c r="B341" s="25" t="str">
        <x:v>Cobrand Partnerships &amp; Business Development</x:v>
      </x:c>
      <x:c r="C341" s="25" t="str">
        <x:v>Analyst / Associate</x:v>
      </x:c>
      <x:c r="D341" s="40" t="n">
        <x:v>420.25600000000003</x:v>
      </x:c>
      <x:c r="E341" s="40" t="n">
        <x:v>2.5300000000000002</x:v>
      </x:c>
      <x:c r="F341" s="40" t="n">
        <x:v>3.7720000000000007</x:v>
      </x:c>
      <x:c r="G341" s="40" t="n">
        <x:v>419.01400000000007</x:v>
      </x:c>
      <x:c r="H341" s="44" t="n">
        <x:v>145000</x:v>
      </x:c>
      <x:c r="I341" s="40" t="n">
        <x:v>5.070589583333333</x:v>
      </x:c>
      <x:c r="J341" s="25" t="str">
        <x:v>SYNTHETIC_ASSUMPTION</x:v>
      </x:c>
    </x:row>
    <x:row r="342">
      <x:c r="A342" s="39" t="n">
        <x:v>45962</x:v>
      </x:c>
      <x:c r="B342" s="25" t="str">
        <x:v>Cobrand Partnerships &amp; Business Development</x:v>
      </x:c>
      <x:c r="C342" s="25" t="str">
        <x:v>Manager / Senior Manager</x:v>
      </x:c>
      <x:c r="D342" s="40" t="n">
        <x:v>283.216</x:v>
      </x:c>
      <x:c r="E342" s="40" t="n">
        <x:v>1.705</x:v>
      </x:c>
      <x:c r="F342" s="40" t="n">
        <x:v>2.5420000000000003</x:v>
      </x:c>
      <x:c r="G342" s="40" t="n">
        <x:v>282.379</x:v>
      </x:c>
      <x:c r="H342" s="44" t="n">
        <x:v>205000</x:v>
      </x:c>
      <x:c r="I342" s="40" t="n">
        <x:v>4.831123958333333</x:v>
      </x:c>
      <x:c r="J342" s="25" t="str">
        <x:v>SYNTHETIC_ASSUMPTION</x:v>
      </x:c>
    </x:row>
    <x:row r="343">
      <x:c r="A343" s="39" t="n">
        <x:v>45962</x:v>
      </x:c>
      <x:c r="B343" s="25" t="str">
        <x:v>Cobrand Partnerships &amp; Business Development</x:v>
      </x:c>
      <x:c r="C343" s="25" t="str">
        <x:v>Director</x:v>
      </x:c>
      <x:c r="D343" s="40" t="n">
        <x:v>155.312</x:v>
      </x:c>
      <x:c r="E343" s="40" t="n">
        <x:v>0.935</x:v>
      </x:c>
      <x:c r="F343" s="40" t="n">
        <x:v>1.3940000000000003</x:v>
      </x:c>
      <x:c r="G343" s="40" t="n">
        <x:v>154.85300000000004</x:v>
      </x:c>
      <x:c r="H343" s="44" t="n">
        <x:v>285000</x:v>
      </x:c>
      <x:c r="I343" s="40" t="n">
        <x:v>3.683209375</x:v>
      </x:c>
      <x:c r="J343" s="25" t="str">
        <x:v>SYNTHETIC_ASSUMPTION</x:v>
      </x:c>
    </x:row>
    <x:row r="344">
      <x:c r="A344" s="39" t="n">
        <x:v>45962</x:v>
      </x:c>
      <x:c r="B344" s="25" t="str">
        <x:v>Cobrand Partnerships &amp; Business Development</x:v>
      </x:c>
      <x:c r="C344" s="25" t="str">
        <x:v>VP+</x:v>
      </x:c>
      <x:c r="D344" s="40" t="n">
        <x:v>54.816</x:v>
      </x:c>
      <x:c r="E344" s="40" t="n">
        <x:v>0.32999999999999996</x:v>
      </x:c>
      <x:c r="F344" s="40" t="n">
        <x:v>0.49200000000000005</x:v>
      </x:c>
      <x:c r="G344" s="40" t="n">
        <x:v>54.654</x:v>
      </x:c>
      <x:c r="H344" s="44" t="n">
        <x:v>430000</x:v>
      </x:c>
      <x:c r="I344" s="40" t="n">
        <x:v>1.9613375</x:v>
      </x:c>
      <x:c r="J344" s="25" t="str">
        <x:v>SYNTHETIC_ASSUMPTION</x:v>
      </x:c>
    </x:row>
    <x:row r="345">
      <x:c r="A345" s="39" t="n">
        <x:v>45962</x:v>
      </x:c>
      <x:c r="B345" s="25" t="str">
        <x:v>U.S. Consumer Marketing &amp; Acquisition</x:v>
      </x:c>
      <x:c r="C345" s="25" t="str">
        <x:v>Analyst / Associate</x:v>
      </x:c>
      <x:c r="D345" s="40" t="n">
        <x:v>504.30719999999997</x:v>
      </x:c>
      <x:c r="E345" s="40" t="n">
        <x:v>3.036</x:v>
      </x:c>
      <x:c r="F345" s="40" t="n">
        <x:v>4.5264</x:v>
      </x:c>
      <x:c r="G345" s="40" t="n">
        <x:v>502.8168</x:v>
      </x:c>
      <x:c r="H345" s="44" t="n">
        <x:v>145000</x:v>
      </x:c>
      <x:c r="I345" s="40" t="n">
        <x:v>6.084707500000001</x:v>
      </x:c>
      <x:c r="J345" s="25" t="str">
        <x:v>SYNTHETIC_ASSUMPTION</x:v>
      </x:c>
    </x:row>
    <x:row r="346">
      <x:c r="A346" s="39" t="n">
        <x:v>45962</x:v>
      </x:c>
      <x:c r="B346" s="25" t="str">
        <x:v>U.S. Consumer Marketing &amp; Acquisition</x:v>
      </x:c>
      <x:c r="C346" s="25" t="str">
        <x:v>Manager / Senior Manager</x:v>
      </x:c>
      <x:c r="D346" s="40" t="n">
        <x:v>339.8592</x:v>
      </x:c>
      <x:c r="E346" s="40" t="n">
        <x:v>2.046</x:v>
      </x:c>
      <x:c r="F346" s="40" t="n">
        <x:v>3.0504</x:v>
      </x:c>
      <x:c r="G346" s="40" t="n">
        <x:v>338.85479999999995</x:v>
      </x:c>
      <x:c r="H346" s="44" t="n">
        <x:v>205000</x:v>
      </x:c>
      <x:c r="I346" s="40" t="n">
        <x:v>5.79734875</x:v>
      </x:c>
      <x:c r="J346" s="25" t="str">
        <x:v>SYNTHETIC_ASSUMPTION</x:v>
      </x:c>
    </x:row>
    <x:row r="347">
      <x:c r="A347" s="39" t="n">
        <x:v>45962</x:v>
      </x:c>
      <x:c r="B347" s="25" t="str">
        <x:v>U.S. Consumer Marketing &amp; Acquisition</x:v>
      </x:c>
      <x:c r="C347" s="25" t="str">
        <x:v>Director</x:v>
      </x:c>
      <x:c r="D347" s="40" t="n">
        <x:v>186.3744</x:v>
      </x:c>
      <x:c r="E347" s="40" t="n">
        <x:v>1.122</x:v>
      </x:c>
      <x:c r="F347" s="40" t="n">
        <x:v>1.6728</x:v>
      </x:c>
      <x:c r="G347" s="40" t="n">
        <x:v>185.8236</x:v>
      </x:c>
      <x:c r="H347" s="44" t="n">
        <x:v>285000</x:v>
      </x:c>
      <x:c r="I347" s="40" t="n">
        <x:v>4.419851250000001</x:v>
      </x:c>
      <x:c r="J347" s="25" t="str">
        <x:v>SYNTHETIC_ASSUMPTION</x:v>
      </x:c>
    </x:row>
    <x:row r="348">
      <x:c r="A348" s="39" t="n">
        <x:v>45962</x:v>
      </x:c>
      <x:c r="B348" s="25" t="str">
        <x:v>U.S. Consumer Marketing &amp; Acquisition</x:v>
      </x:c>
      <x:c r="C348" s="25" t="str">
        <x:v>VP+</x:v>
      </x:c>
      <x:c r="D348" s="40" t="n">
        <x:v>65.77919999999999</x:v>
      </x:c>
      <x:c r="E348" s="40" t="n">
        <x:v>0.39599999999999996</x:v>
      </x:c>
      <x:c r="F348" s="40" t="n">
        <x:v>0.5903999999999999</x:v>
      </x:c>
      <x:c r="G348" s="40" t="n">
        <x:v>65.58479999999999</x:v>
      </x:c>
      <x:c r="H348" s="44" t="n">
        <x:v>430000</x:v>
      </x:c>
      <x:c r="I348" s="40" t="n">
        <x:v>2.353605</x:v>
      </x:c>
      <x:c r="J348" s="25" t="str">
        <x:v>SYNTHETIC_ASSUMPTION</x:v>
      </x:c>
    </x:row>
    <x:row r="349">
      <x:c r="A349" s="39" t="n">
        <x:v>45962</x:v>
      </x:c>
      <x:c r="B349" s="25" t="str">
        <x:v>Product, Data &amp; Technology</x:v>
      </x:c>
      <x:c r="C349" s="25" t="str">
        <x:v>Analyst / Associate</x:v>
      </x:c>
      <x:c r="D349" s="40" t="n">
        <x:v>756.4608000000001</x:v>
      </x:c>
      <x:c r="E349" s="40" t="n">
        <x:v>4.554</x:v>
      </x:c>
      <x:c r="F349" s="40" t="n">
        <x:v>6.7896</x:v>
      </x:c>
      <x:c r="G349" s="40" t="n">
        <x:v>754.2252</x:v>
      </x:c>
      <x:c r="H349" s="44" t="n">
        <x:v>145000</x:v>
      </x:c>
      <x:c r="I349" s="40" t="n">
        <x:v>9.12706125</x:v>
      </x:c>
      <x:c r="J349" s="25" t="str">
        <x:v>SYNTHETIC_ASSUMPTION</x:v>
      </x:c>
    </x:row>
    <x:row r="350">
      <x:c r="A350" s="39" t="n">
        <x:v>45962</x:v>
      </x:c>
      <x:c r="B350" s="25" t="str">
        <x:v>Product, Data &amp; Technology</x:v>
      </x:c>
      <x:c r="C350" s="25" t="str">
        <x:v>Manager / Senior Manager</x:v>
      </x:c>
      <x:c r="D350" s="40" t="n">
        <x:v>509.7888</x:v>
      </x:c>
      <x:c r="E350" s="40" t="n">
        <x:v>3.069</x:v>
      </x:c>
      <x:c r="F350" s="40" t="n">
        <x:v>4.5756</x:v>
      </x:c>
      <x:c r="G350" s="40" t="n">
        <x:v>508.2822</x:v>
      </x:c>
      <x:c r="H350" s="44" t="n">
        <x:v>205000</x:v>
      </x:c>
      <x:c r="I350" s="40" t="n">
        <x:v>8.696023124999998</x:v>
      </x:c>
      <x:c r="J350" s="25" t="str">
        <x:v>SYNTHETIC_ASSUMPTION</x:v>
      </x:c>
    </x:row>
    <x:row r="351">
      <x:c r="A351" s="39" t="n">
        <x:v>45962</x:v>
      </x:c>
      <x:c r="B351" s="25" t="str">
        <x:v>Product, Data &amp; Technology</x:v>
      </x:c>
      <x:c r="C351" s="25" t="str">
        <x:v>Director</x:v>
      </x:c>
      <x:c r="D351" s="40" t="n">
        <x:v>279.5616</x:v>
      </x:c>
      <x:c r="E351" s="40" t="n">
        <x:v>1.6830000000000003</x:v>
      </x:c>
      <x:c r="F351" s="40" t="n">
        <x:v>2.5092000000000003</x:v>
      </x:c>
      <x:c r="G351" s="40" t="n">
        <x:v>278.7354</x:v>
      </x:c>
      <x:c r="H351" s="44" t="n">
        <x:v>285000</x:v>
      </x:c>
      <x:c r="I351" s="40" t="n">
        <x:v>6.629776875</x:v>
      </x:c>
      <x:c r="J351" s="25" t="str">
        <x:v>SYNTHETIC_ASSUMPTION</x:v>
      </x:c>
    </x:row>
    <x:row r="352">
      <x:c r="A352" s="39" t="n">
        <x:v>45962</x:v>
      </x:c>
      <x:c r="B352" s="25" t="str">
        <x:v>Product, Data &amp; Technology</x:v>
      </x:c>
      <x:c r="C352" s="25" t="str">
        <x:v>VP+</x:v>
      </x:c>
      <x:c r="D352" s="40" t="n">
        <x:v>98.6688</x:v>
      </x:c>
      <x:c r="E352" s="40" t="n">
        <x:v>0.594</x:v>
      </x:c>
      <x:c r="F352" s="40" t="n">
        <x:v>0.8855999999999999</x:v>
      </x:c>
      <x:c r="G352" s="40" t="n">
        <x:v>98.37719999999999</x:v>
      </x:c>
      <x:c r="H352" s="44" t="n">
        <x:v>430000</x:v>
      </x:c>
      <x:c r="I352" s="40" t="n">
        <x:v>3.5304075</x:v>
      </x:c>
      <x:c r="J352" s="25" t="str">
        <x:v>SYNTHETIC_ASSUMPTION</x:v>
      </x:c>
    </x:row>
    <x:row r="353">
      <x:c r="A353" s="39" t="n">
        <x:v>45962</x:v>
      </x:c>
      <x:c r="B353" s="25" t="str">
        <x:v>Servicing, Operations &amp; Business Support</x:v>
      </x:c>
      <x:c r="C353" s="25" t="str">
        <x:v>Analyst / Associate</x:v>
      </x:c>
      <x:c r="D353" s="40" t="n">
        <x:v>672.4096000000001</x:v>
      </x:c>
      <x:c r="E353" s="40" t="n">
        <x:v>4.048000000000001</x:v>
      </x:c>
      <x:c r="F353" s="40" t="n">
        <x:v>6.035200000000001</x:v>
      </x:c>
      <x:c r="G353" s="40" t="n">
        <x:v>670.4224</x:v>
      </x:c>
      <x:c r="H353" s="44" t="n">
        <x:v>145000</x:v>
      </x:c>
      <x:c r="I353" s="40" t="n">
        <x:v>8.112943333333336</x:v>
      </x:c>
      <x:c r="J353" s="25" t="str">
        <x:v>SYNTHETIC_ASSUMPTION</x:v>
      </x:c>
    </x:row>
    <x:row r="354">
      <x:c r="A354" s="39" t="n">
        <x:v>45962</x:v>
      </x:c>
      <x:c r="B354" s="25" t="str">
        <x:v>Servicing, Operations &amp; Business Support</x:v>
      </x:c>
      <x:c r="C354" s="25" t="str">
        <x:v>Manager / Senior Manager</x:v>
      </x:c>
      <x:c r="D354" s="40" t="n">
        <x:v>453.1456</x:v>
      </x:c>
      <x:c r="E354" s="40" t="n">
        <x:v>2.728</x:v>
      </x:c>
      <x:c r="F354" s="40" t="n">
        <x:v>4.067200000000001</x:v>
      </x:c>
      <x:c r="G354" s="40" t="n">
        <x:v>451.8064</x:v>
      </x:c>
      <x:c r="H354" s="44" t="n">
        <x:v>205000</x:v>
      </x:c>
      <x:c r="I354" s="40" t="n">
        <x:v>7.729798333333335</x:v>
      </x:c>
      <x:c r="J354" s="25" t="str">
        <x:v>SYNTHETIC_ASSUMPTION</x:v>
      </x:c>
    </x:row>
    <x:row r="355">
      <x:c r="A355" s="39" t="n">
        <x:v>45962</x:v>
      </x:c>
      <x:c r="B355" s="25" t="str">
        <x:v>Servicing, Operations &amp; Business Support</x:v>
      </x:c>
      <x:c r="C355" s="25" t="str">
        <x:v>Director</x:v>
      </x:c>
      <x:c r="D355" s="40" t="n">
        <x:v>248.49920000000003</x:v>
      </x:c>
      <x:c r="E355" s="40" t="n">
        <x:v>1.4960000000000002</x:v>
      </x:c>
      <x:c r="F355" s="40" t="n">
        <x:v>2.2304000000000004</x:v>
      </x:c>
      <x:c r="G355" s="40" t="n">
        <x:v>247.76480000000004</x:v>
      </x:c>
      <x:c r="H355" s="44" t="n">
        <x:v>285000</x:v>
      </x:c>
      <x:c r="I355" s="40" t="n">
        <x:v>5.893135000000001</x:v>
      </x:c>
      <x:c r="J355" s="25" t="str">
        <x:v>SYNTHETIC_ASSUMPTION</x:v>
      </x:c>
    </x:row>
    <x:row r="356">
      <x:c r="A356" s="39" t="n">
        <x:v>45962</x:v>
      </x:c>
      <x:c r="B356" s="25" t="str">
        <x:v>Servicing, Operations &amp; Business Support</x:v>
      </x:c>
      <x:c r="C356" s="25" t="str">
        <x:v>VP+</x:v>
      </x:c>
      <x:c r="D356" s="40" t="n">
        <x:v>87.70559999999999</x:v>
      </x:c>
      <x:c r="E356" s="40" t="n">
        <x:v>0.528</x:v>
      </x:c>
      <x:c r="F356" s="40" t="n">
        <x:v>0.7872</x:v>
      </x:c>
      <x:c r="G356" s="40" t="n">
        <x:v>87.4464</x:v>
      </x:c>
      <x:c r="H356" s="44" t="n">
        <x:v>430000</x:v>
      </x:c>
      <x:c r="I356" s="40" t="n">
        <x:v>3.13814</x:v>
      </x:c>
      <x:c r="J356" s="25" t="str">
        <x:v>SYNTHETIC_ASSUMPTION</x:v>
      </x:c>
    </x:row>
    <x:row r="357">
      <x:c r="A357" s="39" t="n">
        <x:v>45992</x:v>
      </x:c>
      <x:c r="B357" s="25" t="str">
        <x:v>Consumer Card Products &amp; Portfolio</x:v>
      </x:c>
      <x:c r="C357" s="25" t="str">
        <x:v>Analyst / Associate</x:v>
      </x:c>
      <x:c r="D357" s="40" t="n">
        <x:v>502.8168</x:v>
      </x:c>
      <x:c r="E357" s="40" t="n">
        <x:v>2.484</x:v>
      </x:c>
      <x:c r="F357" s="40" t="n">
        <x:v>4.6368</x:v>
      </x:c>
      <x:c r="G357" s="40" t="n">
        <x:v>500.664</x:v>
      </x:c>
      <x:c r="H357" s="44" t="n">
        <x:v>145000</x:v>
      </x:c>
      <x:c r="I357" s="40" t="n">
        <x:v>6.0626965</x:v>
      </x:c>
      <x:c r="J357" s="25" t="str">
        <x:v>SYNTHETIC_ASSUMPTION</x:v>
      </x:c>
    </x:row>
    <x:row r="358">
      <x:c r="A358" s="39" t="n">
        <x:v>45992</x:v>
      </x:c>
      <x:c r="B358" s="25" t="str">
        <x:v>Consumer Card Products &amp; Portfolio</x:v>
      </x:c>
      <x:c r="C358" s="25" t="str">
        <x:v>Manager / Senior Manager</x:v>
      </x:c>
      <x:c r="D358" s="40" t="n">
        <x:v>338.85479999999995</x:v>
      </x:c>
      <x:c r="E358" s="40" t="n">
        <x:v>1.674</x:v>
      </x:c>
      <x:c r="F358" s="40" t="n">
        <x:v>3.1248</x:v>
      </x:c>
      <x:c r="G358" s="40" t="n">
        <x:v>337.40399999999994</x:v>
      </x:c>
      <x:c r="H358" s="44" t="n">
        <x:v>205000</x:v>
      </x:c>
      <x:c r="I358" s="40" t="n">
        <x:v>5.77637725</x:v>
      </x:c>
      <x:c r="J358" s="25" t="str">
        <x:v>SYNTHETIC_ASSUMPTION</x:v>
      </x:c>
    </x:row>
    <x:row r="359">
      <x:c r="A359" s="39" t="n">
        <x:v>45992</x:v>
      </x:c>
      <x:c r="B359" s="25" t="str">
        <x:v>Consumer Card Products &amp; Portfolio</x:v>
      </x:c>
      <x:c r="C359" s="25" t="str">
        <x:v>Director</x:v>
      </x:c>
      <x:c r="D359" s="40" t="n">
        <x:v>185.8236</x:v>
      </x:c>
      <x:c r="E359" s="40" t="n">
        <x:v>0.9179999999999999</x:v>
      </x:c>
      <x:c r="F359" s="40" t="n">
        <x:v>1.7136000000000002</x:v>
      </x:c>
      <x:c r="G359" s="40" t="n">
        <x:v>185.028</x:v>
      </x:c>
      <x:c r="H359" s="44" t="n">
        <x:v>285000</x:v>
      </x:c>
      <x:c r="I359" s="40" t="n">
        <x:v>4.40386275</x:v>
      </x:c>
      <x:c r="J359" s="25" t="str">
        <x:v>SYNTHETIC_ASSUMPTION</x:v>
      </x:c>
    </x:row>
    <x:row r="360">
      <x:c r="A360" s="39" t="n">
        <x:v>45992</x:v>
      </x:c>
      <x:c r="B360" s="25" t="str">
        <x:v>Consumer Card Products &amp; Portfolio</x:v>
      </x:c>
      <x:c r="C360" s="25" t="str">
        <x:v>VP+</x:v>
      </x:c>
      <x:c r="D360" s="40" t="n">
        <x:v>65.58479999999999</x:v>
      </x:c>
      <x:c r="E360" s="40" t="n">
        <x:v>0.32399999999999995</x:v>
      </x:c>
      <x:c r="F360" s="40" t="n">
        <x:v>0.6048</x:v>
      </x:c>
      <x:c r="G360" s="40" t="n">
        <x:v>65.30399999999999</x:v>
      </x:c>
      <x:c r="H360" s="44" t="n">
        <x:v>430000</x:v>
      </x:c>
      <x:c r="I360" s="40" t="n">
        <x:v>2.345091</x:v>
      </x:c>
      <x:c r="J360" s="25" t="str">
        <x:v>SYNTHETIC_ASSUMPTION</x:v>
      </x:c>
    </x:row>
    <x:row r="361">
      <x:c r="A361" s="39" t="n">
        <x:v>45992</x:v>
      </x:c>
      <x:c r="B361" s="25" t="str">
        <x:v>Lending &amp; U.S. Consumer Banking</x:v>
      </x:c>
      <x:c r="C361" s="25" t="str">
        <x:v>Analyst / Associate</x:v>
      </x:c>
      <x:c r="D361" s="40" t="n">
        <x:v>502.8168</x:v>
      </x:c>
      <x:c r="E361" s="40" t="n">
        <x:v>2.484</x:v>
      </x:c>
      <x:c r="F361" s="40" t="n">
        <x:v>4.6368</x:v>
      </x:c>
      <x:c r="G361" s="40" t="n">
        <x:v>500.664</x:v>
      </x:c>
      <x:c r="H361" s="44" t="n">
        <x:v>145000</x:v>
      </x:c>
      <x:c r="I361" s="40" t="n">
        <x:v>6.0626965</x:v>
      </x:c>
      <x:c r="J361" s="25" t="str">
        <x:v>SYNTHETIC_ASSUMPTION</x:v>
      </x:c>
    </x:row>
    <x:row r="362">
      <x:c r="A362" s="39" t="n">
        <x:v>45992</x:v>
      </x:c>
      <x:c r="B362" s="25" t="str">
        <x:v>Lending &amp; U.S. Consumer Banking</x:v>
      </x:c>
      <x:c r="C362" s="25" t="str">
        <x:v>Manager / Senior Manager</x:v>
      </x:c>
      <x:c r="D362" s="40" t="n">
        <x:v>338.85479999999995</x:v>
      </x:c>
      <x:c r="E362" s="40" t="n">
        <x:v>1.674</x:v>
      </x:c>
      <x:c r="F362" s="40" t="n">
        <x:v>3.1248</x:v>
      </x:c>
      <x:c r="G362" s="40" t="n">
        <x:v>337.40399999999994</x:v>
      </x:c>
      <x:c r="H362" s="44" t="n">
        <x:v>205000</x:v>
      </x:c>
      <x:c r="I362" s="40" t="n">
        <x:v>5.77637725</x:v>
      </x:c>
      <x:c r="J362" s="25" t="str">
        <x:v>SYNTHETIC_ASSUMPTION</x:v>
      </x:c>
    </x:row>
    <x:row r="363">
      <x:c r="A363" s="39" t="n">
        <x:v>45992</x:v>
      </x:c>
      <x:c r="B363" s="25" t="str">
        <x:v>Lending &amp; U.S. Consumer Banking</x:v>
      </x:c>
      <x:c r="C363" s="25" t="str">
        <x:v>Director</x:v>
      </x:c>
      <x:c r="D363" s="40" t="n">
        <x:v>185.8236</x:v>
      </x:c>
      <x:c r="E363" s="40" t="n">
        <x:v>0.9179999999999999</x:v>
      </x:c>
      <x:c r="F363" s="40" t="n">
        <x:v>1.7136000000000002</x:v>
      </x:c>
      <x:c r="G363" s="40" t="n">
        <x:v>185.028</x:v>
      </x:c>
      <x:c r="H363" s="44" t="n">
        <x:v>285000</x:v>
      </x:c>
      <x:c r="I363" s="40" t="n">
        <x:v>4.40386275</x:v>
      </x:c>
      <x:c r="J363" s="25" t="str">
        <x:v>SYNTHETIC_ASSUMPTION</x:v>
      </x:c>
    </x:row>
    <x:row r="364">
      <x:c r="A364" s="39" t="n">
        <x:v>45992</x:v>
      </x:c>
      <x:c r="B364" s="25" t="str">
        <x:v>Lending &amp; U.S. Consumer Banking</x:v>
      </x:c>
      <x:c r="C364" s="25" t="str">
        <x:v>VP+</x:v>
      </x:c>
      <x:c r="D364" s="40" t="n">
        <x:v>65.58479999999999</x:v>
      </x:c>
      <x:c r="E364" s="40" t="n">
        <x:v>0.32399999999999995</x:v>
      </x:c>
      <x:c r="F364" s="40" t="n">
        <x:v>0.6048</x:v>
      </x:c>
      <x:c r="G364" s="40" t="n">
        <x:v>65.30399999999999</x:v>
      </x:c>
      <x:c r="H364" s="44" t="n">
        <x:v>430000</x:v>
      </x:c>
      <x:c r="I364" s="40" t="n">
        <x:v>2.345091</x:v>
      </x:c>
      <x:c r="J364" s="25" t="str">
        <x:v>SYNTHETIC_ASSUMPTION</x:v>
      </x:c>
    </x:row>
    <x:row r="365">
      <x:c r="A365" s="39" t="n">
        <x:v>45992</x:v>
      </x:c>
      <x:c r="B365" s="25" t="str">
        <x:v>Membership Rewards &amp; Card Member Benefits</x:v>
      </x:c>
      <x:c r="C365" s="25" t="str">
        <x:v>Analyst / Associate</x:v>
      </x:c>
      <x:c r="D365" s="40" t="n">
        <x:v>502.8168</x:v>
      </x:c>
      <x:c r="E365" s="40" t="n">
        <x:v>2.484</x:v>
      </x:c>
      <x:c r="F365" s="40" t="n">
        <x:v>4.6368</x:v>
      </x:c>
      <x:c r="G365" s="40" t="n">
        <x:v>500.664</x:v>
      </x:c>
      <x:c r="H365" s="44" t="n">
        <x:v>145000</x:v>
      </x:c>
      <x:c r="I365" s="40" t="n">
        <x:v>6.0626965</x:v>
      </x:c>
      <x:c r="J365" s="25" t="str">
        <x:v>SYNTHETIC_ASSUMPTION</x:v>
      </x:c>
    </x:row>
    <x:row r="366">
      <x:c r="A366" s="39" t="n">
        <x:v>45992</x:v>
      </x:c>
      <x:c r="B366" s="25" t="str">
        <x:v>Membership Rewards &amp; Card Member Benefits</x:v>
      </x:c>
      <x:c r="C366" s="25" t="str">
        <x:v>Manager / Senior Manager</x:v>
      </x:c>
      <x:c r="D366" s="40" t="n">
        <x:v>338.85479999999995</x:v>
      </x:c>
      <x:c r="E366" s="40" t="n">
        <x:v>1.674</x:v>
      </x:c>
      <x:c r="F366" s="40" t="n">
        <x:v>3.1248</x:v>
      </x:c>
      <x:c r="G366" s="40" t="n">
        <x:v>337.40399999999994</x:v>
      </x:c>
      <x:c r="H366" s="44" t="n">
        <x:v>205000</x:v>
      </x:c>
      <x:c r="I366" s="40" t="n">
        <x:v>5.77637725</x:v>
      </x:c>
      <x:c r="J366" s="25" t="str">
        <x:v>SYNTHETIC_ASSUMPTION</x:v>
      </x:c>
    </x:row>
    <x:row r="367">
      <x:c r="A367" s="39" t="n">
        <x:v>45992</x:v>
      </x:c>
      <x:c r="B367" s="25" t="str">
        <x:v>Membership Rewards &amp; Card Member Benefits</x:v>
      </x:c>
      <x:c r="C367" s="25" t="str">
        <x:v>Director</x:v>
      </x:c>
      <x:c r="D367" s="40" t="n">
        <x:v>185.8236</x:v>
      </x:c>
      <x:c r="E367" s="40" t="n">
        <x:v>0.9179999999999999</x:v>
      </x:c>
      <x:c r="F367" s="40" t="n">
        <x:v>1.7136000000000002</x:v>
      </x:c>
      <x:c r="G367" s="40" t="n">
        <x:v>185.028</x:v>
      </x:c>
      <x:c r="H367" s="44" t="n">
        <x:v>285000</x:v>
      </x:c>
      <x:c r="I367" s="40" t="n">
        <x:v>4.40386275</x:v>
      </x:c>
      <x:c r="J367" s="25" t="str">
        <x:v>SYNTHETIC_ASSUMPTION</x:v>
      </x:c>
    </x:row>
    <x:row r="368">
      <x:c r="A368" s="39" t="n">
        <x:v>45992</x:v>
      </x:c>
      <x:c r="B368" s="25" t="str">
        <x:v>Membership Rewards &amp; Card Member Benefits</x:v>
      </x:c>
      <x:c r="C368" s="25" t="str">
        <x:v>VP+</x:v>
      </x:c>
      <x:c r="D368" s="40" t="n">
        <x:v>65.58479999999999</x:v>
      </x:c>
      <x:c r="E368" s="40" t="n">
        <x:v>0.32399999999999995</x:v>
      </x:c>
      <x:c r="F368" s="40" t="n">
        <x:v>0.6048</x:v>
      </x:c>
      <x:c r="G368" s="40" t="n">
        <x:v>65.30399999999999</x:v>
      </x:c>
      <x:c r="H368" s="44" t="n">
        <x:v>430000</x:v>
      </x:c>
      <x:c r="I368" s="40" t="n">
        <x:v>2.345091</x:v>
      </x:c>
      <x:c r="J368" s="25" t="str">
        <x:v>SYNTHETIC_ASSUMPTION</x:v>
      </x:c>
    </x:row>
    <x:row r="369">
      <x:c r="A369" s="39" t="n">
        <x:v>45992</x:v>
      </x:c>
      <x:c r="B369" s="25" t="str">
        <x:v>Travel, Lifestyle, Dining &amp; Lounges</x:v>
      </x:c>
      <x:c r="C369" s="25" t="str">
        <x:v>Analyst / Associate</x:v>
      </x:c>
      <x:c r="D369" s="40" t="n">
        <x:v>335.2112</x:v>
      </x:c>
      <x:c r="E369" s="40" t="n">
        <x:v>1.6560000000000001</x:v>
      </x:c>
      <x:c r="F369" s="40" t="n">
        <x:v>3.0912</x:v>
      </x:c>
      <x:c r="G369" s="40" t="n">
        <x:v>333.776</x:v>
      </x:c>
      <x:c r="H369" s="44" t="n">
        <x:v>145000</x:v>
      </x:c>
      <x:c r="I369" s="40" t="n">
        <x:v>4.041797666666667</x:v>
      </x:c>
      <x:c r="J369" s="25" t="str">
        <x:v>SYNTHETIC_ASSUMPTION</x:v>
      </x:c>
    </x:row>
    <x:row r="370">
      <x:c r="A370" s="39" t="n">
        <x:v>45992</x:v>
      </x:c>
      <x:c r="B370" s="25" t="str">
        <x:v>Travel, Lifestyle, Dining &amp; Lounges</x:v>
      </x:c>
      <x:c r="C370" s="25" t="str">
        <x:v>Manager / Senior Manager</x:v>
      </x:c>
      <x:c r="D370" s="40" t="n">
        <x:v>225.9032</x:v>
      </x:c>
      <x:c r="E370" s="40" t="n">
        <x:v>1.116</x:v>
      </x:c>
      <x:c r="F370" s="40" t="n">
        <x:v>2.0831999999999997</x:v>
      </x:c>
      <x:c r="G370" s="40" t="n">
        <x:v>224.936</x:v>
      </x:c>
      <x:c r="H370" s="44" t="n">
        <x:v>205000</x:v>
      </x:c>
      <x:c r="I370" s="40" t="n">
        <x:v>3.8509181666666663</x:v>
      </x:c>
      <x:c r="J370" s="25" t="str">
        <x:v>SYNTHETIC_ASSUMPTION</x:v>
      </x:c>
    </x:row>
    <x:row r="371">
      <x:c r="A371" s="39" t="n">
        <x:v>45992</x:v>
      </x:c>
      <x:c r="B371" s="25" t="str">
        <x:v>Travel, Lifestyle, Dining &amp; Lounges</x:v>
      </x:c>
      <x:c r="C371" s="25" t="str">
        <x:v>Director</x:v>
      </x:c>
      <x:c r="D371" s="40" t="n">
        <x:v>123.88240000000002</x:v>
      </x:c>
      <x:c r="E371" s="40" t="n">
        <x:v>0.6120000000000001</x:v>
      </x:c>
      <x:c r="F371" s="40" t="n">
        <x:v>1.1424</x:v>
      </x:c>
      <x:c r="G371" s="40" t="n">
        <x:v>123.35200000000002</x:v>
      </x:c>
      <x:c r="H371" s="44" t="n">
        <x:v>285000</x:v>
      </x:c>
      <x:c r="I371" s="40" t="n">
        <x:v>2.9359085</x:v>
      </x:c>
      <x:c r="J371" s="25" t="str">
        <x:v>SYNTHETIC_ASSUMPTION</x:v>
      </x:c>
    </x:row>
    <x:row r="372">
      <x:c r="A372" s="39" t="n">
        <x:v>45992</x:v>
      </x:c>
      <x:c r="B372" s="25" t="str">
        <x:v>Travel, Lifestyle, Dining &amp; Lounges</x:v>
      </x:c>
      <x:c r="C372" s="25" t="str">
        <x:v>VP+</x:v>
      </x:c>
      <x:c r="D372" s="40" t="n">
        <x:v>43.7232</x:v>
      </x:c>
      <x:c r="E372" s="40" t="n">
        <x:v>0.216</x:v>
      </x:c>
      <x:c r="F372" s="40" t="n">
        <x:v>0.40319999999999995</x:v>
      </x:c>
      <x:c r="G372" s="40" t="n">
        <x:v>43.536</x:v>
      </x:c>
      <x:c r="H372" s="44" t="n">
        <x:v>430000</x:v>
      </x:c>
      <x:c r="I372" s="40" t="n">
        <x:v>1.563394</x:v>
      </x:c>
      <x:c r="J372" s="25" t="str">
        <x:v>SYNTHETIC_ASSUMPTION</x:v>
      </x:c>
    </x:row>
    <x:row r="373">
      <x:c r="A373" s="39" t="n">
        <x:v>45992</x:v>
      </x:c>
      <x:c r="B373" s="25" t="str">
        <x:v>Cobrand Partnerships &amp; Business Development</x:v>
      </x:c>
      <x:c r="C373" s="25" t="str">
        <x:v>Analyst / Associate</x:v>
      </x:c>
      <x:c r="D373" s="40" t="n">
        <x:v>419.01400000000007</x:v>
      </x:c>
      <x:c r="E373" s="40" t="n">
        <x:v>2.0700000000000003</x:v>
      </x:c>
      <x:c r="F373" s="40" t="n">
        <x:v>3.8640000000000003</x:v>
      </x:c>
      <x:c r="G373" s="40" t="n">
        <x:v>417.22</x:v>
      </x:c>
      <x:c r="H373" s="44" t="n">
        <x:v>145000</x:v>
      </x:c>
      <x:c r="I373" s="40" t="n">
        <x:v>5.052247083333333</x:v>
      </x:c>
      <x:c r="J373" s="25" t="str">
        <x:v>SYNTHETIC_ASSUMPTION</x:v>
      </x:c>
    </x:row>
    <x:row r="374">
      <x:c r="A374" s="39" t="n">
        <x:v>45992</x:v>
      </x:c>
      <x:c r="B374" s="25" t="str">
        <x:v>Cobrand Partnerships &amp; Business Development</x:v>
      </x:c>
      <x:c r="C374" s="25" t="str">
        <x:v>Manager / Senior Manager</x:v>
      </x:c>
      <x:c r="D374" s="40" t="n">
        <x:v>282.379</x:v>
      </x:c>
      <x:c r="E374" s="40" t="n">
        <x:v>1.395</x:v>
      </x:c>
      <x:c r="F374" s="40" t="n">
        <x:v>2.604</x:v>
      </x:c>
      <x:c r="G374" s="40" t="n">
        <x:v>281.17</x:v>
      </x:c>
      <x:c r="H374" s="44" t="n">
        <x:v>205000</x:v>
      </x:c>
      <x:c r="I374" s="40" t="n">
        <x:v>4.813647708333333</x:v>
      </x:c>
      <x:c r="J374" s="25" t="str">
        <x:v>SYNTHETIC_ASSUMPTION</x:v>
      </x:c>
    </x:row>
    <x:row r="375">
      <x:c r="A375" s="39" t="n">
        <x:v>45992</x:v>
      </x:c>
      <x:c r="B375" s="25" t="str">
        <x:v>Cobrand Partnerships &amp; Business Development</x:v>
      </x:c>
      <x:c r="C375" s="25" t="str">
        <x:v>Director</x:v>
      </x:c>
      <x:c r="D375" s="40" t="n">
        <x:v>154.85300000000004</x:v>
      </x:c>
      <x:c r="E375" s="40" t="n">
        <x:v>0.765</x:v>
      </x:c>
      <x:c r="F375" s="40" t="n">
        <x:v>1.4280000000000002</x:v>
      </x:c>
      <x:c r="G375" s="40" t="n">
        <x:v>154.19</x:v>
      </x:c>
      <x:c r="H375" s="44" t="n">
        <x:v>285000</x:v>
      </x:c>
      <x:c r="I375" s="40" t="n">
        <x:v>3.6698856250000005</x:v>
      </x:c>
      <x:c r="J375" s="25" t="str">
        <x:v>SYNTHETIC_ASSUMPTION</x:v>
      </x:c>
    </x:row>
    <x:row r="376">
      <x:c r="A376" s="39" t="n">
        <x:v>45992</x:v>
      </x:c>
      <x:c r="B376" s="25" t="str">
        <x:v>Cobrand Partnerships &amp; Business Development</x:v>
      </x:c>
      <x:c r="C376" s="25" t="str">
        <x:v>VP+</x:v>
      </x:c>
      <x:c r="D376" s="40" t="n">
        <x:v>54.654</x:v>
      </x:c>
      <x:c r="E376" s="40" t="n">
        <x:v>0.27</x:v>
      </x:c>
      <x:c r="F376" s="40" t="n">
        <x:v>0.504</x:v>
      </x:c>
      <x:c r="G376" s="40" t="n">
        <x:v>54.419999999999995</x:v>
      </x:c>
      <x:c r="H376" s="44" t="n">
        <x:v>430000</x:v>
      </x:c>
      <x:c r="I376" s="40" t="n">
        <x:v>1.9542425</x:v>
      </x:c>
      <x:c r="J376" s="25" t="str">
        <x:v>SYNTHETIC_ASSUMPTION</x:v>
      </x:c>
    </x:row>
    <x:row r="377">
      <x:c r="A377" s="39" t="n">
        <x:v>45992</x:v>
      </x:c>
      <x:c r="B377" s="25" t="str">
        <x:v>U.S. Consumer Marketing &amp; Acquisition</x:v>
      </x:c>
      <x:c r="C377" s="25" t="str">
        <x:v>Analyst / Associate</x:v>
      </x:c>
      <x:c r="D377" s="40" t="n">
        <x:v>502.8168</x:v>
      </x:c>
      <x:c r="E377" s="40" t="n">
        <x:v>2.484</x:v>
      </x:c>
      <x:c r="F377" s="40" t="n">
        <x:v>4.6368</x:v>
      </x:c>
      <x:c r="G377" s="40" t="n">
        <x:v>500.664</x:v>
      </x:c>
      <x:c r="H377" s="44" t="n">
        <x:v>145000</x:v>
      </x:c>
      <x:c r="I377" s="40" t="n">
        <x:v>6.0626965</x:v>
      </x:c>
      <x:c r="J377" s="25" t="str">
        <x:v>SYNTHETIC_ASSUMPTION</x:v>
      </x:c>
    </x:row>
    <x:row r="378">
      <x:c r="A378" s="39" t="n">
        <x:v>45992</x:v>
      </x:c>
      <x:c r="B378" s="25" t="str">
        <x:v>U.S. Consumer Marketing &amp; Acquisition</x:v>
      </x:c>
      <x:c r="C378" s="25" t="str">
        <x:v>Manager / Senior Manager</x:v>
      </x:c>
      <x:c r="D378" s="40" t="n">
        <x:v>338.85479999999995</x:v>
      </x:c>
      <x:c r="E378" s="40" t="n">
        <x:v>1.674</x:v>
      </x:c>
      <x:c r="F378" s="40" t="n">
        <x:v>3.1248</x:v>
      </x:c>
      <x:c r="G378" s="40" t="n">
        <x:v>337.40399999999994</x:v>
      </x:c>
      <x:c r="H378" s="44" t="n">
        <x:v>205000</x:v>
      </x:c>
      <x:c r="I378" s="40" t="n">
        <x:v>5.77637725</x:v>
      </x:c>
      <x:c r="J378" s="25" t="str">
        <x:v>SYNTHETIC_ASSUMPTION</x:v>
      </x:c>
    </x:row>
    <x:row r="379">
      <x:c r="A379" s="39" t="n">
        <x:v>45992</x:v>
      </x:c>
      <x:c r="B379" s="25" t="str">
        <x:v>U.S. Consumer Marketing &amp; Acquisition</x:v>
      </x:c>
      <x:c r="C379" s="25" t="str">
        <x:v>Director</x:v>
      </x:c>
      <x:c r="D379" s="40" t="n">
        <x:v>185.8236</x:v>
      </x:c>
      <x:c r="E379" s="40" t="n">
        <x:v>0.9179999999999999</x:v>
      </x:c>
      <x:c r="F379" s="40" t="n">
        <x:v>1.7136000000000002</x:v>
      </x:c>
      <x:c r="G379" s="40" t="n">
        <x:v>185.028</x:v>
      </x:c>
      <x:c r="H379" s="44" t="n">
        <x:v>285000</x:v>
      </x:c>
      <x:c r="I379" s="40" t="n">
        <x:v>4.40386275</x:v>
      </x:c>
      <x:c r="J379" s="25" t="str">
        <x:v>SYNTHETIC_ASSUMPTION</x:v>
      </x:c>
    </x:row>
    <x:row r="380">
      <x:c r="A380" s="39" t="n">
        <x:v>45992</x:v>
      </x:c>
      <x:c r="B380" s="25" t="str">
        <x:v>U.S. Consumer Marketing &amp; Acquisition</x:v>
      </x:c>
      <x:c r="C380" s="25" t="str">
        <x:v>VP+</x:v>
      </x:c>
      <x:c r="D380" s="40" t="n">
        <x:v>65.58479999999999</x:v>
      </x:c>
      <x:c r="E380" s="40" t="n">
        <x:v>0.32399999999999995</x:v>
      </x:c>
      <x:c r="F380" s="40" t="n">
        <x:v>0.6048</x:v>
      </x:c>
      <x:c r="G380" s="40" t="n">
        <x:v>65.30399999999999</x:v>
      </x:c>
      <x:c r="H380" s="44" t="n">
        <x:v>430000</x:v>
      </x:c>
      <x:c r="I380" s="40" t="n">
        <x:v>2.345091</x:v>
      </x:c>
      <x:c r="J380" s="25" t="str">
        <x:v>SYNTHETIC_ASSUMPTION</x:v>
      </x:c>
    </x:row>
    <x:row r="381">
      <x:c r="A381" s="39" t="n">
        <x:v>45992</x:v>
      </x:c>
      <x:c r="B381" s="25" t="str">
        <x:v>Product, Data &amp; Technology</x:v>
      </x:c>
      <x:c r="C381" s="25" t="str">
        <x:v>Analyst / Associate</x:v>
      </x:c>
      <x:c r="D381" s="40" t="n">
        <x:v>754.2252</x:v>
      </x:c>
      <x:c r="E381" s="40" t="n">
        <x:v>3.726</x:v>
      </x:c>
      <x:c r="F381" s="40" t="n">
        <x:v>6.9552</x:v>
      </x:c>
      <x:c r="G381" s="40" t="n">
        <x:v>750.996</x:v>
      </x:c>
      <x:c r="H381" s="44" t="n">
        <x:v>145000</x:v>
      </x:c>
      <x:c r="I381" s="40" t="n">
        <x:v>9.09404475</x:v>
      </x:c>
      <x:c r="J381" s="25" t="str">
        <x:v>SYNTHETIC_ASSUMPTION</x:v>
      </x:c>
    </x:row>
    <x:row r="382">
      <x:c r="A382" s="39" t="n">
        <x:v>45992</x:v>
      </x:c>
      <x:c r="B382" s="25" t="str">
        <x:v>Product, Data &amp; Technology</x:v>
      </x:c>
      <x:c r="C382" s="25" t="str">
        <x:v>Manager / Senior Manager</x:v>
      </x:c>
      <x:c r="D382" s="40" t="n">
        <x:v>508.2822</x:v>
      </x:c>
      <x:c r="E382" s="40" t="n">
        <x:v>2.5109999999999997</x:v>
      </x:c>
      <x:c r="F382" s="40" t="n">
        <x:v>4.6872</x:v>
      </x:c>
      <x:c r="G382" s="40" t="n">
        <x:v>506.106</x:v>
      </x:c>
      <x:c r="H382" s="44" t="n">
        <x:v>205000</x:v>
      </x:c>
      <x:c r="I382" s="40" t="n">
        <x:v>8.664565875</x:v>
      </x:c>
      <x:c r="J382" s="25" t="str">
        <x:v>SYNTHETIC_ASSUMPTION</x:v>
      </x:c>
    </x:row>
    <x:row r="383">
      <x:c r="A383" s="39" t="n">
        <x:v>45992</x:v>
      </x:c>
      <x:c r="B383" s="25" t="str">
        <x:v>Product, Data &amp; Technology</x:v>
      </x:c>
      <x:c r="C383" s="25" t="str">
        <x:v>Director</x:v>
      </x:c>
      <x:c r="D383" s="40" t="n">
        <x:v>278.7354</x:v>
      </x:c>
      <x:c r="E383" s="40" t="n">
        <x:v>1.377</x:v>
      </x:c>
      <x:c r="F383" s="40" t="n">
        <x:v>2.5704000000000002</x:v>
      </x:c>
      <x:c r="G383" s="40" t="n">
        <x:v>277.54200000000003</x:v>
      </x:c>
      <x:c r="H383" s="44" t="n">
        <x:v>285000</x:v>
      </x:c>
      <x:c r="I383" s="40" t="n">
        <x:v>6.605794125000001</x:v>
      </x:c>
      <x:c r="J383" s="25" t="str">
        <x:v>SYNTHETIC_ASSUMPTION</x:v>
      </x:c>
    </x:row>
    <x:row r="384">
      <x:c r="A384" s="39" t="n">
        <x:v>45992</x:v>
      </x:c>
      <x:c r="B384" s="25" t="str">
        <x:v>Product, Data &amp; Technology</x:v>
      </x:c>
      <x:c r="C384" s="25" t="str">
        <x:v>VP+</x:v>
      </x:c>
      <x:c r="D384" s="40" t="n">
        <x:v>98.37719999999999</x:v>
      </x:c>
      <x:c r="E384" s="40" t="n">
        <x:v>0.486</x:v>
      </x:c>
      <x:c r="F384" s="40" t="n">
        <x:v>0.9071999999999999</x:v>
      </x:c>
      <x:c r="G384" s="40" t="n">
        <x:v>97.95599999999999</x:v>
      </x:c>
      <x:c r="H384" s="44" t="n">
        <x:v>430000</x:v>
      </x:c>
      <x:c r="I384" s="40" t="n">
        <x:v>3.5176364999999996</x:v>
      </x:c>
      <x:c r="J384" s="25" t="str">
        <x:v>SYNTHETIC_ASSUMPTION</x:v>
      </x:c>
    </x:row>
    <x:row r="385">
      <x:c r="A385" s="39" t="n">
        <x:v>45992</x:v>
      </x:c>
      <x:c r="B385" s="25" t="str">
        <x:v>Servicing, Operations &amp; Business Support</x:v>
      </x:c>
      <x:c r="C385" s="25" t="str">
        <x:v>Analyst / Associate</x:v>
      </x:c>
      <x:c r="D385" s="40" t="n">
        <x:v>670.4224</x:v>
      </x:c>
      <x:c r="E385" s="40" t="n">
        <x:v>3.3120000000000003</x:v>
      </x:c>
      <x:c r="F385" s="40" t="n">
        <x:v>6.1824</x:v>
      </x:c>
      <x:c r="G385" s="40" t="n">
        <x:v>667.552</x:v>
      </x:c>
      <x:c r="H385" s="44" t="n">
        <x:v>145000</x:v>
      </x:c>
      <x:c r="I385" s="40" t="n">
        <x:v>8.083595333333333</x:v>
      </x:c>
      <x:c r="J385" s="25" t="str">
        <x:v>SYNTHETIC_ASSUMPTION</x:v>
      </x:c>
    </x:row>
    <x:row r="386">
      <x:c r="A386" s="39" t="n">
        <x:v>45992</x:v>
      </x:c>
      <x:c r="B386" s="25" t="str">
        <x:v>Servicing, Operations &amp; Business Support</x:v>
      </x:c>
      <x:c r="C386" s="25" t="str">
        <x:v>Manager / Senior Manager</x:v>
      </x:c>
      <x:c r="D386" s="40" t="n">
        <x:v>451.8064</x:v>
      </x:c>
      <x:c r="E386" s="40" t="n">
        <x:v>2.232</x:v>
      </x:c>
      <x:c r="F386" s="40" t="n">
        <x:v>4.166399999999999</x:v>
      </x:c>
      <x:c r="G386" s="40" t="n">
        <x:v>449.872</x:v>
      </x:c>
      <x:c r="H386" s="44" t="n">
        <x:v>205000</x:v>
      </x:c>
      <x:c r="I386" s="40" t="n">
        <x:v>7.701836333333333</x:v>
      </x:c>
      <x:c r="J386" s="25" t="str">
        <x:v>SYNTHETIC_ASSUMPTION</x:v>
      </x:c>
    </x:row>
    <x:row r="387">
      <x:c r="A387" s="39" t="n">
        <x:v>45992</x:v>
      </x:c>
      <x:c r="B387" s="25" t="str">
        <x:v>Servicing, Operations &amp; Business Support</x:v>
      </x:c>
      <x:c r="C387" s="25" t="str">
        <x:v>Director</x:v>
      </x:c>
      <x:c r="D387" s="40" t="n">
        <x:v>247.76480000000004</x:v>
      </x:c>
      <x:c r="E387" s="40" t="n">
        <x:v>1.2240000000000002</x:v>
      </x:c>
      <x:c r="F387" s="40" t="n">
        <x:v>2.2848</x:v>
      </x:c>
      <x:c r="G387" s="40" t="n">
        <x:v>246.70400000000004</x:v>
      </x:c>
      <x:c r="H387" s="44" t="n">
        <x:v>285000</x:v>
      </x:c>
      <x:c r="I387" s="40" t="n">
        <x:v>5.871817</x:v>
      </x:c>
      <x:c r="J387" s="25" t="str">
        <x:v>SYNTHETIC_ASSUMPTION</x:v>
      </x:c>
    </x:row>
    <x:row r="388">
      <x:c r="A388" s="39" t="n">
        <x:v>45992</x:v>
      </x:c>
      <x:c r="B388" s="25" t="str">
        <x:v>Servicing, Operations &amp; Business Support</x:v>
      </x:c>
      <x:c r="C388" s="25" t="str">
        <x:v>VP+</x:v>
      </x:c>
      <x:c r="D388" s="40" t="n">
        <x:v>87.4464</x:v>
      </x:c>
      <x:c r="E388" s="40" t="n">
        <x:v>0.432</x:v>
      </x:c>
      <x:c r="F388" s="40" t="n">
        <x:v>0.8063999999999999</x:v>
      </x:c>
      <x:c r="G388" s="40" t="n">
        <x:v>87.072</x:v>
      </x:c>
      <x:c r="H388" s="44" t="n">
        <x:v>430000</x:v>
      </x:c>
      <x:c r="I388" s="40" t="n">
        <x:v>3.126788</x:v>
      </x:c>
      <x:c r="J388" s="25" t="str">
        <x:v>SYNTHETIC_ASSUMPTION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130000114440918" hidden="0" customWidth="1"/>
    <x:col min="2" max="2" width="14.880000114440918" hidden="0" customWidth="1"/>
    <x:col min="3" max="3" width="16.25" hidden="0" customWidth="1"/>
    <x:col min="4" max="4" width="24.25" hidden="0" customWidth="1"/>
  </x:cols>
  <x:sheetData>
    <x:row r="1" ht="30" customHeight="1">
      <x:c r="A1" s="15" t="str">
        <x:v>Operating Expense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Monthly expense allocation with an illustrative personnel and non-personnel split.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Month</x:v>
      </x:c>
      <x:c r="B4" s="24" t="str">
        <x:v>Personnel expense</x:v>
      </x:c>
      <x:c r="C4" s="24" t="str">
        <x:v>Non-personnel OpEx</x:v>
      </x:c>
      <x:c r="D4" s="24" t="str">
        <x:v>Published reconciliation bucket</x:v>
      </x:c>
    </x:row>
    <x:row r="5">
      <x:c r="A5" s="39" t="n">
        <x:v>45658</x:v>
      </x:c>
      <x:c r="B5" s="40" t="n">
        <x:v>154.48270833333336</x:v>
      </x:c>
      <x:c r="C5" s="40" t="n">
        <x:v>241.99729166666663</x:v>
      </x:c>
      <x:c r="D5" s="40" t="n">
        <x:v>396.4800000000001</x:v>
      </x:c>
    </x:row>
    <x:row r="6">
      <x:c r="A6" s="39" t="n">
        <x:v>45689</x:v>
      </x:c>
      <x:c r="B6" s="40" t="n">
        <x:v>154.87466666666666</x:v>
      </x:c>
      <x:c r="C6" s="40" t="n">
        <x:v>229.21533333333326</x:v>
      </x:c>
      <x:c r="D6" s="40" t="n">
        <x:v>384.09</x:v>
      </x:c>
    </x:row>
    <x:row r="7">
      <x:c r="A7" s="39" t="n">
        <x:v>45717</x:v>
      </x:c>
      <x:c r="B7" s="40" t="n">
        <x:v>155.17289583333334</x:v>
      </x:c>
      <x:c r="C7" s="40" t="n">
        <x:v>303.25710416666664</x:v>
      </x:c>
      <x:c r="D7" s="40" t="n">
        <x:v>458.42999999999995</x:v>
      </x:c>
    </x:row>
    <x:row r="8">
      <x:c r="A8" s="39" t="n">
        <x:v>45748</x:v>
      </x:c>
      <x:c r="B8" s="40" t="n">
        <x:v>155.52224999999999</x:v>
      </x:c>
      <x:c r="C8" s="40" t="n">
        <x:v>267.20775000000003</x:v>
      </x:c>
      <x:c r="D8" s="40" t="n">
        <x:v>422.73</x:v>
      </x:c>
    </x:row>
    <x:row r="9">
      <x:c r="A9" s="39" t="n">
        <x:v>45778</x:v>
      </x:c>
      <x:c r="B9" s="40" t="n">
        <x:v>155.83752083333334</x:v>
      </x:c>
      <x:c r="C9" s="40" t="n">
        <x:v>266.8924791666667</x:v>
      </x:c>
      <x:c r="D9" s="40" t="n">
        <x:v>422.73</x:v>
      </x:c>
    </x:row>
    <x:row r="10">
      <x:c r="A10" s="39" t="n">
        <x:v>45809</x:v>
      </x:c>
      <x:c r="B10" s="40" t="n">
        <x:v>155.99089583333335</x:v>
      </x:c>
      <x:c r="C10" s="40" t="n">
        <x:v>279.54910416666667</x:v>
      </x:c>
      <x:c r="D10" s="40" t="n">
        <x:v>435.54</x:v>
      </x:c>
    </x:row>
    <x:row r="11">
      <x:c r="A11" s="39" t="n">
        <x:v>45839</x:v>
      </x:c>
      <x:c r="B11" s="40" t="n">
        <x:v>156.0590625</x:v>
      </x:c>
      <x:c r="C11" s="40" t="n">
        <x:v>259.9409375</x:v>
      </x:c>
      <x:c r="D11" s="40" t="n">
        <x:v>416.00000000000006</x:v>
      </x:c>
    </x:row>
    <x:row r="12">
      <x:c r="A12" s="39" t="n">
        <x:v>45870</x:v>
      </x:c>
      <x:c r="B12" s="40" t="n">
        <x:v>156.09314583333332</x:v>
      </x:c>
      <x:c r="C12" s="40" t="n">
        <x:v>272.9068541666667</x:v>
      </x:c>
      <x:c r="D12" s="40" t="n">
        <x:v>428.99999999999994</x:v>
      </x:c>
    </x:row>
    <x:row r="13">
      <x:c r="A13" s="39" t="n">
        <x:v>45901</x:v>
      </x:c>
      <x:c r="B13" s="40" t="n">
        <x:v>156.01645833333333</x:v>
      </x:c>
      <x:c r="C13" s="40" t="n">
        <x:v>298.98354166666667</x:v>
      </x:c>
      <x:c r="D13" s="40" t="n">
        <x:v>455</x:v>
      </x:c>
    </x:row>
    <x:row r="14">
      <x:c r="A14" s="39" t="n">
        <x:v>45931</x:v>
      </x:c>
      <x:c r="B14" s="40" t="n">
        <x:v>155.8204791666667</x:v>
      </x:c>
      <x:c r="C14" s="40" t="n">
        <x:v>286.0795208333333</x:v>
      </x:c>
      <x:c r="D14" s="40" t="n">
        <x:v>441.9</x:v>
      </x:c>
    </x:row>
    <x:row r="15">
      <x:c r="A15" s="39" t="n">
        <x:v>45962</x:v>
      </x:c>
      <x:c r="B15" s="40" t="n">
        <x:v>155.46260416666667</x:v>
      </x:c>
      <x:c r="C15" s="40" t="n">
        <x:v>301.16739583333333</x:v>
      </x:c>
      <x:c r="D15" s="40" t="n">
        <x:v>456.62999999999994</x:v>
      </x:c>
    </x:row>
    <x:row r="16">
      <x:c r="A16" s="39" t="n">
        <x:v>45992</x:v>
      </x:c>
      <x:c r="B16" s="40" t="n">
        <x:v>154.9002291666667</x:v>
      </x:c>
      <x:c r="C16" s="40" t="n">
        <x:v>419.5697708333334</x:v>
      </x:c>
      <x:c r="D16" s="40" t="n">
        <x:v>574.4700000000001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5" t="str">
        <x:v>Illustrative Planning Cost Centers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Eight planning cost centers allocated to the published USCS operating expense category.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Cost center</x:v>
      </x:c>
      <x:c r="B4" s="24" t="str">
        <x:v>Personnel</x:v>
      </x:c>
      <x:c r="C4" s="24" t="str">
        <x:v>Vendor</x:v>
      </x:c>
      <x:c r="D4" s="24" t="str">
        <x:v>Technology</x:v>
      </x:c>
      <x:c r="E4" s="24" t="str">
        <x:v>Occupancy / shared</x:v>
      </x:c>
      <x:c r="F4" s="24" t="str">
        <x:v>Other OpEx</x:v>
      </x:c>
      <x:c r="G4" s="24" t="str">
        <x:v>Total allocation</x:v>
      </x:c>
    </x:row>
    <x:row r="5">
      <x:c r="A5" s="25" t="str">
        <x:v>Cobrand Partnerships &amp; Business Development</x:v>
      </x:c>
      <x:c r="B5" s="40" t="n">
        <x:v>186.6232916666667</x:v>
      </x:c>
      <x:c r="C5" s="40" t="n">
        <x:v>130.21714916666667</x:v>
      </x:c>
      <x:c r="D5" s="40" t="n">
        <x:v>82.24241</x:v>
      </x:c>
      <x:c r="E5" s="40" t="n">
        <x:v>47.97473916666668</x:v>
      </x:c>
      <x:c r="F5" s="40" t="n">
        <x:v>82.24240999999999</x:v>
      </x:c>
      <x:c r="G5" s="40" t="n">
        <x:v>529.3</x:v>
      </x:c>
    </x:row>
    <x:row r="6">
      <x:c r="A6" s="25" t="str">
        <x:v>Consumer Card Products &amp; Portfolio</x:v>
      </x:c>
      <x:c r="B6" s="40" t="n">
        <x:v>223.94795000000005</x:v>
      </x:c>
      <x:c r="C6" s="40" t="n">
        <x:v>156.260579</x:v>
      </x:c>
      <x:c r="D6" s="40" t="n">
        <x:v>98.69089199999999</x:v>
      </x:c>
      <x:c r="E6" s="40" t="n">
        <x:v>57.569687000000016</x:v>
      </x:c>
      <x:c r="F6" s="40" t="n">
        <x:v>98.69089199999999</x:v>
      </x:c>
      <x:c r="G6" s="40" t="n">
        <x:v>635.1600000000001</x:v>
      </x:c>
    </x:row>
    <x:row r="7">
      <x:c r="A7" s="25" t="str">
        <x:v>Lending &amp; U.S. Consumer Banking</x:v>
      </x:c>
      <x:c r="B7" s="40" t="n">
        <x:v>223.94795000000005</x:v>
      </x:c>
      <x:c r="C7" s="40" t="n">
        <x:v>156.260579</x:v>
      </x:c>
      <x:c r="D7" s="40" t="n">
        <x:v>98.69089199999999</x:v>
      </x:c>
      <x:c r="E7" s="40" t="n">
        <x:v>57.569687000000016</x:v>
      </x:c>
      <x:c r="F7" s="40" t="n">
        <x:v>98.69089199999999</x:v>
      </x:c>
      <x:c r="G7" s="40" t="n">
        <x:v>635.1600000000001</x:v>
      </x:c>
    </x:row>
    <x:row r="8">
      <x:c r="A8" s="25" t="str">
        <x:v>Membership Rewards &amp; Card Member Benefits</x:v>
      </x:c>
      <x:c r="B8" s="40" t="n">
        <x:v>223.94795000000005</x:v>
      </x:c>
      <x:c r="C8" s="40" t="n">
        <x:v>156.260579</x:v>
      </x:c>
      <x:c r="D8" s="40" t="n">
        <x:v>98.69089199999999</x:v>
      </x:c>
      <x:c r="E8" s="40" t="n">
        <x:v>57.569687000000016</x:v>
      </x:c>
      <x:c r="F8" s="40" t="n">
        <x:v>98.69089199999999</x:v>
      </x:c>
      <x:c r="G8" s="40" t="n">
        <x:v>635.1600000000001</x:v>
      </x:c>
    </x:row>
    <x:row r="9">
      <x:c r="A9" s="25" t="str">
        <x:v>Product, Data &amp; Technology</x:v>
      </x:c>
      <x:c r="B9" s="40" t="n">
        <x:v>335.921925</x:v>
      </x:c>
      <x:c r="C9" s="40" t="n">
        <x:v>234.3908685</x:v>
      </x:c>
      <x:c r="D9" s="40" t="n">
        <x:v>148.036338</x:v>
      </x:c>
      <x:c r="E9" s="40" t="n">
        <x:v>86.3545305</x:v>
      </x:c>
      <x:c r="F9" s="40" t="n">
        <x:v>148.03633799999997</x:v>
      </x:c>
      <x:c r="G9" s="40" t="n">
        <x:v>952.74</x:v>
      </x:c>
    </x:row>
    <x:row r="10">
      <x:c r="A10" s="25" t="str">
        <x:v>Servicing, Operations &amp; Business Support</x:v>
      </x:c>
      <x:c r="B10" s="40" t="n">
        <x:v>298.5972666666667</x:v>
      </x:c>
      <x:c r="C10" s="40" t="n">
        <x:v>208.34743866666668</x:v>
      </x:c>
      <x:c r="D10" s="40" t="n">
        <x:v>131.58785600000002</x:v>
      </x:c>
      <x:c r="E10" s="40" t="n">
        <x:v>76.75958266666667</x:v>
      </x:c>
      <x:c r="F10" s="40" t="n">
        <x:v>131.587856</x:v>
      </x:c>
      <x:c r="G10" s="40" t="n">
        <x:v>846.8799999999999</x:v>
      </x:c>
    </x:row>
    <x:row r="11">
      <x:c r="A11" s="25" t="str">
        <x:v>Travel, Lifestyle, Dining &amp; Lounges</x:v>
      </x:c>
      <x:c r="B11" s="40" t="n">
        <x:v>149.29863333333336</x:v>
      </x:c>
      <x:c r="C11" s="40" t="n">
        <x:v>104.17371933333334</x:v>
      </x:c>
      <x:c r="D11" s="40" t="n">
        <x:v>65.79392800000001</x:v>
      </x:c>
      <x:c r="E11" s="40" t="n">
        <x:v>38.37979133333334</x:v>
      </x:c>
      <x:c r="F11" s="40" t="n">
        <x:v>65.793928</x:v>
      </x:c>
      <x:c r="G11" s="40" t="n">
        <x:v>423.43999999999994</x:v>
      </x:c>
    </x:row>
    <x:row r="12">
      <x:c r="A12" s="25" t="str">
        <x:v>U.S. Consumer Marketing &amp; Acquisition</x:v>
      </x:c>
      <x:c r="B12" s="40" t="n">
        <x:v>223.94795000000005</x:v>
      </x:c>
      <x:c r="C12" s="40" t="n">
        <x:v>156.260579</x:v>
      </x:c>
      <x:c r="D12" s="40" t="n">
        <x:v>98.69089199999999</x:v>
      </x:c>
      <x:c r="E12" s="40" t="n">
        <x:v>57.569687000000016</x:v>
      </x:c>
      <x:c r="F12" s="40" t="n">
        <x:v>98.69089199999999</x:v>
      </x:c>
      <x:c r="G12" s="40" t="n">
        <x:v>635.1600000000001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.5" hidden="0" customWidth="1"/>
    <x:col min="2" max="2" width="20" hidden="0" customWidth="1"/>
    <x:col min="3" max="3" width="11" hidden="0" customWidth="1"/>
    <x:col min="4" max="4" width="5" hidden="0" customWidth="1"/>
    <x:col min="5" max="5" width="13.380000114440918" hidden="0" customWidth="1"/>
  </x:cols>
  <x:sheetData>
    <x:row r="1" ht="30" customHeight="1">
      <x:c r="A1" s="15" t="str">
        <x:v>Variance Bridges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Plan-to-actual decompositions for revenue, credit, customer engagement, marketing, OpEx and PTI.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Bridge</x:v>
      </x:c>
      <x:c r="B4" s="24" t="str">
        <x:v>Component</x:v>
      </x:c>
      <x:c r="C4" s="24" t="str">
        <x:v>Impact / total</x:v>
      </x:c>
      <x:c r="D4" s="24" t="str">
        <x:v>Order</x:v>
      </x:c>
      <x:c r="E4" s="24" t="str">
        <x:v>Classification</x:v>
      </x:c>
    </x:row>
    <x:row r="5">
      <x:c r="A5" s="25" t="str">
        <x:v>Revenue</x:v>
      </x:c>
      <x:c r="B5" s="25" t="str">
        <x:v>Plan</x:v>
      </x:c>
      <x:c r="C5" s="26" t="n">
        <x:v>34469</x:v>
      </x:c>
      <x:c r="D5" s="47" t="n">
        <x:v>0</x:v>
      </x:c>
      <x:c r="E5" s="25" t="str">
        <x:v>MODEL_OUTPUT</x:v>
      </x:c>
    </x:row>
    <x:row r="6">
      <x:c r="A6" s="25" t="str">
        <x:v>Revenue</x:v>
      </x:c>
      <x:c r="B6" s="25" t="str">
        <x:v>Account volume</x:v>
      </x:c>
      <x:c r="C6" s="26" t="n">
        <x:v>150</x:v>
      </x:c>
      <x:c r="D6" s="47" t="n">
        <x:v>1</x:v>
      </x:c>
      <x:c r="E6" s="25" t="str">
        <x:v>MODEL_OUTPUT</x:v>
      </x:c>
    </x:row>
    <x:row r="7">
      <x:c r="A7" s="25" t="str">
        <x:v>Revenue</x:v>
      </x:c>
      <x:c r="B7" s="25" t="str">
        <x:v>Spend per account</x:v>
      </x:c>
      <x:c r="C7" s="26" t="n">
        <x:v>-70</x:v>
      </x:c>
      <x:c r="D7" s="47" t="n">
        <x:v>2</x:v>
      </x:c>
      <x:c r="E7" s="25" t="str">
        <x:v>MODEL_OUTPUT</x:v>
      </x:c>
    </x:row>
    <x:row r="8">
      <x:c r="A8" s="25" t="str">
        <x:v>Revenue</x:v>
      </x:c>
      <x:c r="B8" s="25" t="str">
        <x:v>G&amp;S / T&amp;E mix</x:v>
      </x:c>
      <x:c r="C8" s="26" t="n">
        <x:v>40</x:v>
      </x:c>
      <x:c r="D8" s="47" t="n">
        <x:v>3</x:v>
      </x:c>
      <x:c r="E8" s="25" t="str">
        <x:v>MODEL_OUTPUT</x:v>
      </x:c>
    </x:row>
    <x:row r="9">
      <x:c r="A9" s="25" t="str">
        <x:v>Revenue</x:v>
      </x:c>
      <x:c r="B9" s="25" t="str">
        <x:v>Monetization</x:v>
      </x:c>
      <x:c r="C9" s="26" t="n">
        <x:v>-60</x:v>
      </x:c>
      <x:c r="D9" s="47" t="n">
        <x:v>4</x:v>
      </x:c>
      <x:c r="E9" s="25" t="str">
        <x:v>MODEL_OUTPUT</x:v>
      </x:c>
    </x:row>
    <x:row r="10">
      <x:c r="A10" s="25" t="str">
        <x:v>Revenue</x:v>
      </x:c>
      <x:c r="B10" s="25" t="str">
        <x:v>Lending</x:v>
      </x:c>
      <x:c r="C10" s="26" t="n">
        <x:v>88</x:v>
      </x:c>
      <x:c r="D10" s="47" t="n">
        <x:v>5</x:v>
      </x:c>
      <x:c r="E10" s="25" t="str">
        <x:v>MODEL_OUTPUT</x:v>
      </x:c>
    </x:row>
    <x:row r="11">
      <x:c r="A11" s="25" t="str">
        <x:v>Revenue</x:v>
      </x:c>
      <x:c r="B11" s="25" t="str">
        <x:v>Fees / other</x:v>
      </x:c>
      <x:c r="C11" s="26" t="n">
        <x:v>197</x:v>
      </x:c>
      <x:c r="D11" s="47" t="n">
        <x:v>6</x:v>
      </x:c>
      <x:c r="E11" s="25" t="str">
        <x:v>MODEL_OUTPUT</x:v>
      </x:c>
    </x:row>
    <x:row r="12">
      <x:c r="A12" s="25" t="str">
        <x:v>Revenue</x:v>
      </x:c>
      <x:c r="B12" s="25" t="str">
        <x:v>Actual</x:v>
      </x:c>
      <x:c r="C12" s="26" t="n">
        <x:v>34814</x:v>
      </x:c>
      <x:c r="D12" s="47" t="n">
        <x:v>99</x:v>
      </x:c>
      <x:c r="E12" s="25" t="str">
        <x:v>MODEL_OUTPUT</x:v>
      </x:c>
    </x:row>
    <x:row r="13">
      <x:c r="A13" s="25" t="str">
        <x:v>Provision</x:v>
      </x:c>
      <x:c r="B13" s="25" t="str">
        <x:v>Plan</x:v>
      </x:c>
      <x:c r="C13" s="26" t="n">
        <x:v>3100</x:v>
      </x:c>
      <x:c r="D13" s="47" t="n">
        <x:v>0</x:v>
      </x:c>
      <x:c r="E13" s="25" t="str">
        <x:v>MODEL_OUTPUT</x:v>
      </x:c>
    </x:row>
    <x:row r="14">
      <x:c r="A14" s="25" t="str">
        <x:v>Provision</x:v>
      </x:c>
      <x:c r="B14" s="25" t="str">
        <x:v>Loan balance</x:v>
      </x:c>
      <x:c r="C14" s="26" t="n">
        <x:v>100</x:v>
      </x:c>
      <x:c r="D14" s="47" t="n">
        <x:v>1</x:v>
      </x:c>
      <x:c r="E14" s="25" t="str">
        <x:v>MODEL_OUTPUT</x:v>
      </x:c>
    </x:row>
    <x:row r="15">
      <x:c r="A15" s="25" t="str">
        <x:v>Provision</x:v>
      </x:c>
      <x:c r="B15" s="25" t="str">
        <x:v>Loss rate / reserve overlay</x:v>
      </x:c>
      <x:c r="C15" s="26" t="n">
        <x:v>-233</x:v>
      </x:c>
      <x:c r="D15" s="47" t="n">
        <x:v>2</x:v>
      </x:c>
      <x:c r="E15" s="25" t="str">
        <x:v>MODEL_OUTPUT</x:v>
      </x:c>
    </x:row>
    <x:row r="16">
      <x:c r="A16" s="25" t="str">
        <x:v>Provision</x:v>
      </x:c>
      <x:c r="B16" s="25" t="str">
        <x:v>Actual</x:v>
      </x:c>
      <x:c r="C16" s="26" t="n">
        <x:v>2967</x:v>
      </x:c>
      <x:c r="D16" s="47" t="n">
        <x:v>99</x:v>
      </x:c>
      <x:c r="E16" s="25" t="str">
        <x:v>MODEL_OUTPUT</x:v>
      </x:c>
    </x:row>
    <x:row r="17">
      <x:c r="A17" s="25" t="str">
        <x:v>Rewards / Benefits</x:v>
      </x:c>
      <x:c r="B17" s="25" t="str">
        <x:v>Plan</x:v>
      </x:c>
      <x:c r="C17" s="26" t="n">
        <x:v>15976.8</x:v>
      </x:c>
      <x:c r="D17" s="47" t="n">
        <x:v>0</x:v>
      </x:c>
      <x:c r="E17" s="25" t="str">
        <x:v>MODEL_OUTPUT</x:v>
      </x:c>
    </x:row>
    <x:row r="18">
      <x:c r="A18" s="25" t="str">
        <x:v>Rewards / Benefits</x:v>
      </x:c>
      <x:c r="B18" s="25" t="str">
        <x:v>Billed business</x:v>
      </x:c>
      <x:c r="C18" s="26" t="n">
        <x:v>-70</x:v>
      </x:c>
      <x:c r="D18" s="47" t="n">
        <x:v>1</x:v>
      </x:c>
      <x:c r="E18" s="25" t="str">
        <x:v>MODEL_OUTPUT</x:v>
      </x:c>
    </x:row>
    <x:row r="19">
      <x:c r="A19" s="25" t="str">
        <x:v>Rewards / Benefits</x:v>
      </x:c>
      <x:c r="B19" s="25" t="str">
        <x:v>Rewards / benefit rate</x:v>
      </x:c>
      <x:c r="C19" s="26" t="n">
        <x:v>650.2000000000007</x:v>
      </x:c>
      <x:c r="D19" s="47" t="n">
        <x:v>2</x:v>
      </x:c>
      <x:c r="E19" s="25" t="str">
        <x:v>MODEL_OUTPUT</x:v>
      </x:c>
    </x:row>
    <x:row r="20">
      <x:c r="A20" s="25" t="str">
        <x:v>Rewards / Benefits</x:v>
      </x:c>
      <x:c r="B20" s="25" t="str">
        <x:v>Actual</x:v>
      </x:c>
      <x:c r="C20" s="26" t="n">
        <x:v>16557</x:v>
      </x:c>
      <x:c r="D20" s="47" t="n">
        <x:v>99</x:v>
      </x:c>
      <x:c r="E20" s="25" t="str">
        <x:v>MODEL_OUTPUT</x:v>
      </x:c>
    </x:row>
    <x:row r="21">
      <x:c r="A21" s="25" t="str">
        <x:v>Marketing</x:v>
      </x:c>
      <x:c r="B21" s="25" t="str">
        <x:v>Plan</x:v>
      </x:c>
      <x:c r="C21" s="26" t="n">
        <x:v>3180</x:v>
      </x:c>
      <x:c r="D21" s="47" t="n">
        <x:v>0</x:v>
      </x:c>
      <x:c r="E21" s="25" t="str">
        <x:v>MODEL_OUTPUT</x:v>
      </x:c>
    </x:row>
    <x:row r="22">
      <x:c r="A22" s="25" t="str">
        <x:v>Marketing</x:v>
      </x:c>
      <x:c r="B22" s="25" t="str">
        <x:v>Acquisition volume</x:v>
      </x:c>
      <x:c r="C22" s="26" t="n">
        <x:v>60</x:v>
      </x:c>
      <x:c r="D22" s="47" t="n">
        <x:v>1</x:v>
      </x:c>
      <x:c r="E22" s="25" t="str">
        <x:v>MODEL_OUTPUT</x:v>
      </x:c>
    </x:row>
    <x:row r="23">
      <x:c r="A23" s="25" t="str">
        <x:v>Marketing</x:v>
      </x:c>
      <x:c r="B23" s="25" t="str">
        <x:v>CAC</x:v>
      </x:c>
      <x:c r="C23" s="26" t="n">
        <x:v>40</x:v>
      </x:c>
      <x:c r="D23" s="47" t="n">
        <x:v>2</x:v>
      </x:c>
      <x:c r="E23" s="25" t="str">
        <x:v>MODEL_OUTPUT</x:v>
      </x:c>
    </x:row>
    <x:row r="24">
      <x:c r="A24" s="25" t="str">
        <x:v>Marketing</x:v>
      </x:c>
      <x:c r="B24" s="25" t="str">
        <x:v>Channel mix</x:v>
      </x:c>
      <x:c r="C24" s="26" t="n">
        <x:v>-30</x:v>
      </x:c>
      <x:c r="D24" s="47" t="n">
        <x:v>3</x:v>
      </x:c>
      <x:c r="E24" s="25" t="str">
        <x:v>MODEL_OUTPUT</x:v>
      </x:c>
    </x:row>
    <x:row r="25">
      <x:c r="A25" s="25" t="str">
        <x:v>Marketing</x:v>
      </x:c>
      <x:c r="B25" s="25" t="str">
        <x:v>Timing</x:v>
      </x:c>
      <x:c r="C25" s="26" t="n">
        <x:v>-63</x:v>
      </x:c>
      <x:c r="D25" s="47" t="n">
        <x:v>4</x:v>
      </x:c>
      <x:c r="E25" s="25" t="str">
        <x:v>MODEL_OUTPUT</x:v>
      </x:c>
    </x:row>
    <x:row r="26">
      <x:c r="A26" s="25" t="str">
        <x:v>Marketing</x:v>
      </x:c>
      <x:c r="B26" s="25" t="str">
        <x:v>Actual</x:v>
      </x:c>
      <x:c r="C26" s="26" t="n">
        <x:v>3187</x:v>
      </x:c>
      <x:c r="D26" s="47" t="n">
        <x:v>99</x:v>
      </x:c>
      <x:c r="E26" s="25" t="str">
        <x:v>MODEL_OUTPUT</x:v>
      </x:c>
    </x:row>
    <x:row r="27">
      <x:c r="A27" s="25" t="str">
        <x:v>Personnel / OpEx</x:v>
      </x:c>
      <x:c r="B27" s="25" t="str">
        <x:v>Plan</x:v>
      </x:c>
      <x:c r="C27" s="26" t="n">
        <x:v>5012.3</x:v>
      </x:c>
      <x:c r="D27" s="47" t="n">
        <x:v>0</x:v>
      </x:c>
      <x:c r="E27" s="25" t="str">
        <x:v>MODEL_OUTPUT</x:v>
      </x:c>
    </x:row>
    <x:row r="28">
      <x:c r="A28" s="25" t="str">
        <x:v>Personnel / OpEx</x:v>
      </x:c>
      <x:c r="B28" s="25" t="str">
        <x:v>Headcount</x:v>
      </x:c>
      <x:c r="C28" s="26" t="n">
        <x:v>85</x:v>
      </x:c>
      <x:c r="D28" s="47" t="n">
        <x:v>1</x:v>
      </x:c>
      <x:c r="E28" s="25" t="str">
        <x:v>MODEL_OUTPUT</x:v>
      </x:c>
    </x:row>
    <x:row r="29">
      <x:c r="A29" s="25" t="str">
        <x:v>Personnel / OpEx</x:v>
      </x:c>
      <x:c r="B29" s="25" t="str">
        <x:v>Compensation</x:v>
      </x:c>
      <x:c r="C29" s="26" t="n">
        <x:v>110</x:v>
      </x:c>
      <x:c r="D29" s="47" t="n">
        <x:v>2</x:v>
      </x:c>
      <x:c r="E29" s="25" t="str">
        <x:v>MODEL_OUTPUT</x:v>
      </x:c>
    </x:row>
    <x:row r="30">
      <x:c r="A30" s="25" t="str">
        <x:v>Personnel / OpEx</x:v>
      </x:c>
      <x:c r="B30" s="25" t="str">
        <x:v>Hiring / other timing</x:v>
      </x:c>
      <x:c r="C30" s="26" t="n">
        <x:v>85.69999999999982</x:v>
      </x:c>
      <x:c r="D30" s="47" t="n">
        <x:v>3</x:v>
      </x:c>
      <x:c r="E30" s="25" t="str">
        <x:v>MODEL_OUTPUT</x:v>
      </x:c>
    </x:row>
    <x:row r="31">
      <x:c r="A31" s="25" t="str">
        <x:v>Personnel / OpEx</x:v>
      </x:c>
      <x:c r="B31" s="25" t="str">
        <x:v>Actual</x:v>
      </x:c>
      <x:c r="C31" s="26" t="n">
        <x:v>5293</x:v>
      </x:c>
      <x:c r="D31" s="47" t="n">
        <x:v>99</x:v>
      </x:c>
      <x:c r="E31" s="25" t="str">
        <x:v>MODEL_OUTPUT</x:v>
      </x:c>
    </x:row>
    <x:row r="32">
      <x:c r="A32" s="25" t="str">
        <x:v>Pretax income</x:v>
      </x:c>
      <x:c r="B32" s="25" t="str">
        <x:v>Plan</x:v>
      </x:c>
      <x:c r="C32" s="26" t="n">
        <x:v>7199.9000000000015</x:v>
      </x:c>
      <x:c r="D32" s="47" t="n">
        <x:v>0</x:v>
      </x:c>
      <x:c r="E32" s="25" t="str">
        <x:v>MODEL_OUTPUT</x:v>
      </x:c>
    </x:row>
    <x:row r="33">
      <x:c r="A33" s="25" t="str">
        <x:v>Pretax income</x:v>
      </x:c>
      <x:c r="B33" s="25" t="str">
        <x:v>Revenue</x:v>
      </x:c>
      <x:c r="C33" s="26" t="n">
        <x:v>345</x:v>
      </x:c>
      <x:c r="D33" s="47" t="n">
        <x:v>1</x:v>
      </x:c>
      <x:c r="E33" s="25" t="str">
        <x:v>MODEL_OUTPUT</x:v>
      </x:c>
    </x:row>
    <x:row r="34">
      <x:c r="A34" s="25" t="str">
        <x:v>Pretax income</x:v>
      </x:c>
      <x:c r="B34" s="25" t="str">
        <x:v>Credit</x:v>
      </x:c>
      <x:c r="C34" s="26" t="n">
        <x:v>133</x:v>
      </x:c>
      <x:c r="D34" s="47" t="n">
        <x:v>2</x:v>
      </x:c>
      <x:c r="E34" s="25" t="str">
        <x:v>MODEL_OUTPUT</x:v>
      </x:c>
    </x:row>
    <x:row r="35">
      <x:c r="A35" s="25" t="str">
        <x:v>Pretax income</x:v>
      </x:c>
      <x:c r="B35" s="25" t="str">
        <x:v>Rewards / benefits</x:v>
      </x:c>
      <x:c r="C35" s="26" t="n">
        <x:v>-580.2000000000007</x:v>
      </x:c>
      <x:c r="D35" s="47" t="n">
        <x:v>3</x:v>
      </x:c>
      <x:c r="E35" s="25" t="str">
        <x:v>MODEL_OUTPUT</x:v>
      </x:c>
    </x:row>
    <x:row r="36">
      <x:c r="A36" s="25" t="str">
        <x:v>Pretax income</x:v>
      </x:c>
      <x:c r="B36" s="25" t="str">
        <x:v>Marketing</x:v>
      </x:c>
      <x:c r="C36" s="26" t="n">
        <x:v>-7</x:v>
      </x:c>
      <x:c r="D36" s="47" t="n">
        <x:v>4</x:v>
      </x:c>
      <x:c r="E36" s="25" t="str">
        <x:v>MODEL_OUTPUT</x:v>
      </x:c>
    </x:row>
    <x:row r="37">
      <x:c r="A37" s="25" t="str">
        <x:v>Pretax income</x:v>
      </x:c>
      <x:c r="B37" s="25" t="str">
        <x:v>Personnel / OpEx</x:v>
      </x:c>
      <x:c r="C37" s="26" t="n">
        <x:v>-280.6999999999998</x:v>
      </x:c>
      <x:c r="D37" s="47" t="n">
        <x:v>5</x:v>
      </x:c>
      <x:c r="E37" s="25" t="str">
        <x:v>MODEL_OUTPUT</x:v>
      </x:c>
    </x:row>
    <x:row r="38">
      <x:c r="A38" s="25" t="str">
        <x:v>Pretax income</x:v>
      </x:c>
      <x:c r="B38" s="25" t="str">
        <x:v>Actual</x:v>
      </x:c>
      <x:c r="C38" s="26" t="n">
        <x:v>6810</x:v>
      </x:c>
      <x:c r="D38" s="47" t="n">
        <x:v>99</x:v>
      </x:c>
      <x:c r="E38" s="25" t="str">
        <x:v>MODEL_OUTPUT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.25" hidden="0" customWidth="1"/>
    <x:col min="2" max="2" width="28" hidden="0" customWidth="1"/>
    <x:col min="3" max="3" width="9.880000114440918" hidden="0" customWidth="1"/>
    <x:col min="4" max="4" width="12.75" hidden="0" customWidth="1"/>
    <x:col min="5" max="5" width="21.1299991607666" hidden="0" customWidth="1"/>
    <x:col min="6" max="6" width="8.630000114440918" hidden="0" customWidth="1"/>
    <x:col min="7" max="7" width="10.380000114440918" hidden="0" customWidth="1"/>
    <x:col min="8" max="8" width="28" hidden="0" customWidth="1"/>
  </x:cols>
  <x:sheetData>
    <x:row r="1" ht="30" customHeight="1">
      <x:c r="A1" s="15" t="str">
        <x:v>Management Scenarios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Ten independent scenarios with assumptions and calculated outcomes by case.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ID</x:v>
      </x:c>
      <x:c r="B4" s="24" t="str">
        <x:v>Scenario</x:v>
      </x:c>
      <x:c r="C4" s="24" t="str">
        <x:v>Case</x:v>
      </x:c>
      <x:c r="D4" s="24" t="str">
        <x:v>Revenue impact</x:v>
      </x:c>
      <x:c r="E4" s="24" t="str">
        <x:v>Expense / provision impact</x:v>
      </x:c>
      <x:c r="F4" s="24" t="str">
        <x:v>PTI impact</x:v>
      </x:c>
      <x:c r="G4" s="24" t="str">
        <x:v>Resulting PTI</x:v>
      </x:c>
      <x:c r="H4" s="24" t="str">
        <x:v>Management recommendation</x:v>
      </x:c>
    </x:row>
    <x:row r="5">
      <x:c r="A5" s="25" t="str">
        <x:v>S01</x:v>
      </x:c>
      <x:c r="B5" s="25" t="str">
        <x:v>Consumer Spend Slowdown &amp; Mix Shift</x:v>
      </x:c>
      <x:c r="C5" s="25" t="str">
        <x:v>Low</x:v>
      </x:c>
      <x:c r="D5" s="26" t="n">
        <x:v>-742.5</x:v>
      </x:c>
      <x:c r="E5" s="26" t="n">
        <x:v>-286</x:v>
      </x:c>
      <x:c r="F5" s="26" t="n">
        <x:v>-456.5</x:v>
      </x:c>
      <x:c r="G5" s="40" t="n">
        <x:v>7437.6</x:v>
      </x:c>
      <x:c r="H5" s="25" t="str">
        <x:v>Slow acquisition if spend per account weakens for two quarters.</x:v>
      </x:c>
    </x:row>
    <x:row r="6">
      <x:c r="A6" s="25" t="str">
        <x:v>S01</x:v>
      </x:c>
      <x:c r="B6" s="25" t="str">
        <x:v>Consumer Spend Slowdown &amp; Mix Shift</x:v>
      </x:c>
      <x:c r="C6" s="25" t="str">
        <x:v>Base</x:v>
      </x:c>
      <x:c r="D6" s="26" t="n">
        <x:v>-1350</x:v>
      </x:c>
      <x:c r="E6" s="26" t="n">
        <x:v>-520</x:v>
      </x:c>
      <x:c r="F6" s="26" t="n">
        <x:v>-830</x:v>
      </x:c>
      <x:c r="G6" s="40" t="n">
        <x:v>7064.1</x:v>
      </x:c>
      <x:c r="H6" s="25" t="str">
        <x:v>Slow acquisition if spend per account weakens for two quarters.</x:v>
      </x:c>
    </x:row>
    <x:row r="7">
      <x:c r="A7" s="25" t="str">
        <x:v>S01</x:v>
      </x:c>
      <x:c r="B7" s="25" t="str">
        <x:v>Consumer Spend Slowdown &amp; Mix Shift</x:v>
      </x:c>
      <x:c r="C7" s="25" t="str">
        <x:v>High / Stress</x:v>
      </x:c>
      <x:c r="D7" s="26" t="n">
        <x:v>-1957.5</x:v>
      </x:c>
      <x:c r="E7" s="26" t="n">
        <x:v>-754</x:v>
      </x:c>
      <x:c r="F7" s="26" t="n">
        <x:v>-1203.5</x:v>
      </x:c>
      <x:c r="G7" s="40" t="n">
        <x:v>6690.6</x:v>
      </x:c>
      <x:c r="H7" s="25" t="str">
        <x:v>Slow acquisition if spend per account weakens for two quarters.</x:v>
      </x:c>
    </x:row>
    <x:row r="8">
      <x:c r="A8" s="25" t="str">
        <x:v>S02</x:v>
      </x:c>
      <x:c r="B8" s="25" t="str">
        <x:v>Customer Acquisition Investment</x:v>
      </x:c>
      <x:c r="C8" s="25" t="str">
        <x:v>Low</x:v>
      </x:c>
      <x:c r="D8" s="26" t="n">
        <x:v>231</x:v>
      </x:c>
      <x:c r="E8" s="26" t="n">
        <x:v>286</x:v>
      </x:c>
      <x:c r="F8" s="26" t="n">
        <x:v>-55</x:v>
      </x:c>
      <x:c r="G8" s="40" t="n">
        <x:v>7839.1</x:v>
      </x:c>
      <x:c r="H8" s="25" t="str">
        <x:v>Fund only channels with contribution per marketing dollar above 1.4x.</x:v>
      </x:c>
    </x:row>
    <x:row r="9">
      <x:c r="A9" s="25" t="str">
        <x:v>S02</x:v>
      </x:c>
      <x:c r="B9" s="25" t="str">
        <x:v>Customer Acquisition Investment</x:v>
      </x:c>
      <x:c r="C9" s="25" t="str">
        <x:v>Base</x:v>
      </x:c>
      <x:c r="D9" s="26" t="n">
        <x:v>420</x:v>
      </x:c>
      <x:c r="E9" s="26" t="n">
        <x:v>520</x:v>
      </x:c>
      <x:c r="F9" s="26" t="n">
        <x:v>-100</x:v>
      </x:c>
      <x:c r="G9" s="40" t="n">
        <x:v>7794.1</x:v>
      </x:c>
      <x:c r="H9" s="25" t="str">
        <x:v>Fund only channels with contribution per marketing dollar above 1.4x.</x:v>
      </x:c>
    </x:row>
    <x:row r="10">
      <x:c r="A10" s="25" t="str">
        <x:v>S02</x:v>
      </x:c>
      <x:c r="B10" s="25" t="str">
        <x:v>Customer Acquisition Investment</x:v>
      </x:c>
      <x:c r="C10" s="25" t="str">
        <x:v>High / Stress</x:v>
      </x:c>
      <x:c r="D10" s="26" t="n">
        <x:v>609</x:v>
      </x:c>
      <x:c r="E10" s="26" t="n">
        <x:v>754</x:v>
      </x:c>
      <x:c r="F10" s="26" t="n">
        <x:v>-145</x:v>
      </x:c>
      <x:c r="G10" s="40" t="n">
        <x:v>7749.1</x:v>
      </x:c>
      <x:c r="H10" s="25" t="str">
        <x:v>Fund only channels with contribution per marketing dollar above 1.4x.</x:v>
      </x:c>
    </x:row>
    <x:row r="11">
      <x:c r="A11" s="25" t="str">
        <x:v>S03</x:v>
      </x:c>
      <x:c r="B11" s="25" t="str">
        <x:v>Credit Deterioration</x:v>
      </x:c>
      <x:c r="C11" s="25" t="str">
        <x:v>Low</x:v>
      </x:c>
      <x:c r="D11" s="26" t="n">
        <x:v>0</x:v>
      </x:c>
      <x:c r="E11" s="26" t="n">
        <x:v>357.5</x:v>
      </x:c>
      <x:c r="F11" s="26" t="n">
        <x:v>-357.5</x:v>
      </x:c>
      <x:c r="G11" s="40" t="n">
        <x:v>7536.6</x:v>
      </x:c>
      <x:c r="H11" s="25" t="str">
        <x:v>Tighten marginal lending where provision-adjusted contribution falls below hurdle.</x:v>
      </x:c>
    </x:row>
    <x:row r="12">
      <x:c r="A12" s="25" t="str">
        <x:v>S03</x:v>
      </x:c>
      <x:c r="B12" s="25" t="str">
        <x:v>Credit Deterioration</x:v>
      </x:c>
      <x:c r="C12" s="25" t="str">
        <x:v>Base</x:v>
      </x:c>
      <x:c r="D12" s="26" t="n">
        <x:v>0</x:v>
      </x:c>
      <x:c r="E12" s="26" t="n">
        <x:v>650</x:v>
      </x:c>
      <x:c r="F12" s="26" t="n">
        <x:v>-650</x:v>
      </x:c>
      <x:c r="G12" s="40" t="n">
        <x:v>7244.1</x:v>
      </x:c>
      <x:c r="H12" s="25" t="str">
        <x:v>Tighten marginal lending where provision-adjusted contribution falls below hurdle.</x:v>
      </x:c>
    </x:row>
    <x:row r="13">
      <x:c r="A13" s="25" t="str">
        <x:v>S03</x:v>
      </x:c>
      <x:c r="B13" s="25" t="str">
        <x:v>Credit Deterioration</x:v>
      </x:c>
      <x:c r="C13" s="25" t="str">
        <x:v>High / Stress</x:v>
      </x:c>
      <x:c r="D13" s="26" t="n">
        <x:v>0</x:v>
      </x:c>
      <x:c r="E13" s="26" t="n">
        <x:v>942.5</x:v>
      </x:c>
      <x:c r="F13" s="26" t="n">
        <x:v>-942.5</x:v>
      </x:c>
      <x:c r="G13" s="40" t="n">
        <x:v>6951.6</x:v>
      </x:c>
      <x:c r="H13" s="25" t="str">
        <x:v>Tighten marginal lending where provision-adjusted contribution falls below hurdle.</x:v>
      </x:c>
    </x:row>
    <x:row r="14">
      <x:c r="A14" s="25" t="str">
        <x:v>S04</x:v>
      </x:c>
      <x:c r="B14" s="25" t="str">
        <x:v>Rewards &amp; Card Member Benefit Inflation</x:v>
      </x:c>
      <x:c r="C14" s="25" t="str">
        <x:v>Low</x:v>
      </x:c>
      <x:c r="D14" s="26" t="n">
        <x:v>99</x:v>
      </x:c>
      <x:c r="E14" s="26" t="n">
        <x:v>297</x:v>
      </x:c>
      <x:c r="F14" s="26" t="n">
        <x:v>-198</x:v>
      </x:c>
      <x:c r="G14" s="40" t="n">
        <x:v>7696.1</x:v>
      </x:c>
      <x:c r="H14" s="25" t="str">
        <x:v>Require measurable engagement lift before expanding benefits.</x:v>
      </x:c>
    </x:row>
    <x:row r="15">
      <x:c r="A15" s="25" t="str">
        <x:v>S04</x:v>
      </x:c>
      <x:c r="B15" s="25" t="str">
        <x:v>Rewards &amp; Card Member Benefit Inflation</x:v>
      </x:c>
      <x:c r="C15" s="25" t="str">
        <x:v>Base</x:v>
      </x:c>
      <x:c r="D15" s="26" t="n">
        <x:v>180</x:v>
      </x:c>
      <x:c r="E15" s="26" t="n">
        <x:v>540</x:v>
      </x:c>
      <x:c r="F15" s="26" t="n">
        <x:v>-360</x:v>
      </x:c>
      <x:c r="G15" s="40" t="n">
        <x:v>7534.1</x:v>
      </x:c>
      <x:c r="H15" s="25" t="str">
        <x:v>Require measurable engagement lift before expanding benefits.</x:v>
      </x:c>
    </x:row>
    <x:row r="16">
      <x:c r="A16" s="25" t="str">
        <x:v>S04</x:v>
      </x:c>
      <x:c r="B16" s="25" t="str">
        <x:v>Rewards &amp; Card Member Benefit Inflation</x:v>
      </x:c>
      <x:c r="C16" s="25" t="str">
        <x:v>High / Stress</x:v>
      </x:c>
      <x:c r="D16" s="26" t="n">
        <x:v>261</x:v>
      </x:c>
      <x:c r="E16" s="26" t="n">
        <x:v>783</x:v>
      </x:c>
      <x:c r="F16" s="26" t="n">
        <x:v>-522</x:v>
      </x:c>
      <x:c r="G16" s="40" t="n">
        <x:v>7372.1</x:v>
      </x:c>
      <x:c r="H16" s="25" t="str">
        <x:v>Require measurable engagement lift before expanding benefits.</x:v>
      </x:c>
    </x:row>
    <x:row r="17">
      <x:c r="A17" s="25" t="str">
        <x:v>S05</x:v>
      </x:c>
      <x:c r="B17" s="25" t="str">
        <x:v>Headcount &amp; OpEx Productivity</x:v>
      </x:c>
      <x:c r="C17" s="25" t="str">
        <x:v>Low</x:v>
      </x:c>
      <x:c r="D17" s="26" t="n">
        <x:v>-49.5</x:v>
      </x:c>
      <x:c r="E17" s="26" t="n">
        <x:v>-231</x:v>
      </x:c>
      <x:c r="F17" s="26" t="n">
        <x:v>181.5</x:v>
      </x:c>
      <x:c r="G17" s="40" t="n">
        <x:v>8075.6</x:v>
      </x:c>
      <x:c r="H17" s="25" t="str">
        <x:v>Protect service capacity while pausing lower-priority hiring and reducing vendors.</x:v>
      </x:c>
    </x:row>
    <x:row r="18">
      <x:c r="A18" s="25" t="str">
        <x:v>S05</x:v>
      </x:c>
      <x:c r="B18" s="25" t="str">
        <x:v>Headcount &amp; OpEx Productivity</x:v>
      </x:c>
      <x:c r="C18" s="25" t="str">
        <x:v>Base</x:v>
      </x:c>
      <x:c r="D18" s="26" t="n">
        <x:v>-90</x:v>
      </x:c>
      <x:c r="E18" s="26" t="n">
        <x:v>-420</x:v>
      </x:c>
      <x:c r="F18" s="26" t="n">
        <x:v>330</x:v>
      </x:c>
      <x:c r="G18" s="40" t="n">
        <x:v>8224.1</x:v>
      </x:c>
      <x:c r="H18" s="25" t="str">
        <x:v>Protect service capacity while pausing lower-priority hiring and reducing vendors.</x:v>
      </x:c>
    </x:row>
    <x:row r="19">
      <x:c r="A19" s="25" t="str">
        <x:v>S05</x:v>
      </x:c>
      <x:c r="B19" s="25" t="str">
        <x:v>Headcount &amp; OpEx Productivity</x:v>
      </x:c>
      <x:c r="C19" s="25" t="str">
        <x:v>High / Stress</x:v>
      </x:c>
      <x:c r="D19" s="26" t="n">
        <x:v>-130.5</x:v>
      </x:c>
      <x:c r="E19" s="26" t="n">
        <x:v>-609</x:v>
      </x:c>
      <x:c r="F19" s="26" t="n">
        <x:v>478.5</x:v>
      </x:c>
      <x:c r="G19" s="40" t="n">
        <x:v>8372.6</x:v>
      </x:c>
      <x:c r="H19" s="25" t="str">
        <x:v>Protect service capacity while pausing lower-priority hiring and reducing vendors.</x:v>
      </x:c>
    </x:row>
    <x:row r="20">
      <x:c r="A20" s="25" t="str">
        <x:v>S06</x:v>
      </x:c>
      <x:c r="B20" s="25" t="str">
        <x:v>Lending Growth &amp; Interest Rate / Yield</x:v>
      </x:c>
      <x:c r="C20" s="25" t="str">
        <x:v>Low</x:v>
      </x:c>
      <x:c r="D20" s="26" t="n">
        <x:v>286</x:v>
      </x:c>
      <x:c r="E20" s="26" t="n">
        <x:v>115.5</x:v>
      </x:c>
      <x:c r="F20" s="26" t="n">
        <x:v>170.5</x:v>
      </x:c>
      <x:c r="G20" s="40" t="n">
        <x:v>8064.6</x:v>
      </x:c>
      <x:c r="H20" s="25" t="str">
        <x:v>Favor risk-adjusted loan growth over pure balance growth.</x:v>
      </x:c>
    </x:row>
    <x:row r="21">
      <x:c r="A21" s="25" t="str">
        <x:v>S06</x:v>
      </x:c>
      <x:c r="B21" s="25" t="str">
        <x:v>Lending Growth &amp; Interest Rate / Yield</x:v>
      </x:c>
      <x:c r="C21" s="25" t="str">
        <x:v>Base</x:v>
      </x:c>
      <x:c r="D21" s="26" t="n">
        <x:v>520</x:v>
      </x:c>
      <x:c r="E21" s="26" t="n">
        <x:v>210</x:v>
      </x:c>
      <x:c r="F21" s="26" t="n">
        <x:v>310</x:v>
      </x:c>
      <x:c r="G21" s="40" t="n">
        <x:v>8204.1</x:v>
      </x:c>
      <x:c r="H21" s="25" t="str">
        <x:v>Favor risk-adjusted loan growth over pure balance growth.</x:v>
      </x:c>
    </x:row>
    <x:row r="22">
      <x:c r="A22" s="25" t="str">
        <x:v>S06</x:v>
      </x:c>
      <x:c r="B22" s="25" t="str">
        <x:v>Lending Growth &amp; Interest Rate / Yield</x:v>
      </x:c>
      <x:c r="C22" s="25" t="str">
        <x:v>High / Stress</x:v>
      </x:c>
      <x:c r="D22" s="26" t="n">
        <x:v>754</x:v>
      </x:c>
      <x:c r="E22" s="26" t="n">
        <x:v>304.5</x:v>
      </x:c>
      <x:c r="F22" s="26" t="n">
        <x:v>449.5</x:v>
      </x:c>
      <x:c r="G22" s="40" t="n">
        <x:v>8343.6</x:v>
      </x:c>
      <x:c r="H22" s="25" t="str">
        <x:v>Favor risk-adjusted loan growth over pure balance growth.</x:v>
      </x:c>
    </x:row>
    <x:row r="23">
      <x:c r="A23" s="25" t="str">
        <x:v>S07</x:v>
      </x:c>
      <x:c r="B23" s="25" t="str">
        <x:v>Cobrand / Partnership Economics</x:v>
      </x:c>
      <x:c r="C23" s="25" t="str">
        <x:v>Low</x:v>
      </x:c>
      <x:c r="D23" s="26" t="n">
        <x:v>143</x:v>
      </x:c>
      <x:c r="E23" s="26" t="n">
        <x:v>115.5</x:v>
      </x:c>
      <x:c r="F23" s="26" t="n">
        <x:v>27.5</x:v>
      </x:c>
      <x:c r="G23" s="40" t="n">
        <x:v>7921.6</x:v>
      </x:c>
      <x:c r="H23" s="25" t="str">
        <x:v>Renew only if partner funding offsets benefit and acquisition inflation.</x:v>
      </x:c>
    </x:row>
    <x:row r="24">
      <x:c r="A24" s="25" t="str">
        <x:v>S07</x:v>
      </x:c>
      <x:c r="B24" s="25" t="str">
        <x:v>Cobrand / Partnership Economics</x:v>
      </x:c>
      <x:c r="C24" s="25" t="str">
        <x:v>Base</x:v>
      </x:c>
      <x:c r="D24" s="26" t="n">
        <x:v>260</x:v>
      </x:c>
      <x:c r="E24" s="26" t="n">
        <x:v>210</x:v>
      </x:c>
      <x:c r="F24" s="26" t="n">
        <x:v>50</x:v>
      </x:c>
      <x:c r="G24" s="40" t="n">
        <x:v>7944.1</x:v>
      </x:c>
      <x:c r="H24" s="25" t="str">
        <x:v>Renew only if partner funding offsets benefit and acquisition inflation.</x:v>
      </x:c>
    </x:row>
    <x:row r="25">
      <x:c r="A25" s="25" t="str">
        <x:v>S07</x:v>
      </x:c>
      <x:c r="B25" s="25" t="str">
        <x:v>Cobrand / Partnership Economics</x:v>
      </x:c>
      <x:c r="C25" s="25" t="str">
        <x:v>High / Stress</x:v>
      </x:c>
      <x:c r="D25" s="26" t="n">
        <x:v>377</x:v>
      </x:c>
      <x:c r="E25" s="26" t="n">
        <x:v>304.5</x:v>
      </x:c>
      <x:c r="F25" s="26" t="n">
        <x:v>72.5</x:v>
      </x:c>
      <x:c r="G25" s="40" t="n">
        <x:v>7966.6</x:v>
      </x:c>
      <x:c r="H25" s="25" t="str">
        <x:v>Renew only if partner funding offsets benefit and acquisition inflation.</x:v>
      </x:c>
    </x:row>
    <x:row r="26">
      <x:c r="A26" s="25" t="str">
        <x:v>S08</x:v>
      </x:c>
      <x:c r="B26" s="25" t="str">
        <x:v>Retention &amp; Card Member Attrition</x:v>
      </x:c>
      <x:c r="C26" s="25" t="str">
        <x:v>Low</x:v>
      </x:c>
      <x:c r="D26" s="26" t="n">
        <x:v>170.5</x:v>
      </x:c>
      <x:c r="E26" s="26" t="n">
        <x:v>104.5</x:v>
      </x:c>
      <x:c r="F26" s="26" t="n">
        <x:v>66</x:v>
      </x:c>
      <x:c r="G26" s="40" t="n">
        <x:v>7960.1</x:v>
      </x:c>
      <x:c r="H26" s="25" t="str">
        <x:v>Target offers to high-contribution accounts and cap cost at preserved contribution.</x:v>
      </x:c>
    </x:row>
    <x:row r="27">
      <x:c r="A27" s="25" t="str">
        <x:v>S08</x:v>
      </x:c>
      <x:c r="B27" s="25" t="str">
        <x:v>Retention &amp; Card Member Attrition</x:v>
      </x:c>
      <x:c r="C27" s="25" t="str">
        <x:v>Base</x:v>
      </x:c>
      <x:c r="D27" s="26" t="n">
        <x:v>310</x:v>
      </x:c>
      <x:c r="E27" s="26" t="n">
        <x:v>190</x:v>
      </x:c>
      <x:c r="F27" s="26" t="n">
        <x:v>120</x:v>
      </x:c>
      <x:c r="G27" s="40" t="n">
        <x:v>8014.1</x:v>
      </x:c>
      <x:c r="H27" s="25" t="str">
        <x:v>Target offers to high-contribution accounts and cap cost at preserved contribution.</x:v>
      </x:c>
    </x:row>
    <x:row r="28">
      <x:c r="A28" s="25" t="str">
        <x:v>S08</x:v>
      </x:c>
      <x:c r="B28" s="25" t="str">
        <x:v>Retention &amp; Card Member Attrition</x:v>
      </x:c>
      <x:c r="C28" s="25" t="str">
        <x:v>High / Stress</x:v>
      </x:c>
      <x:c r="D28" s="26" t="n">
        <x:v>449.5</x:v>
      </x:c>
      <x:c r="E28" s="26" t="n">
        <x:v>275.5</x:v>
      </x:c>
      <x:c r="F28" s="26" t="n">
        <x:v>174</x:v>
      </x:c>
      <x:c r="G28" s="40" t="n">
        <x:v>8068.1</x:v>
      </x:c>
      <x:c r="H28" s="25" t="str">
        <x:v>Target offers to high-contribution accounts and cap cost at preserved contribution.</x:v>
      </x:c>
    </x:row>
    <x:row r="29">
      <x:c r="A29" s="25" t="str">
        <x:v>S09</x:v>
      </x:c>
      <x:c r="B29" s="25" t="str">
        <x:v>New Card / Membership Benefit Launch</x:v>
      </x:c>
      <x:c r="C29" s="25" t="str">
        <x:v>Low</x:v>
      </x:c>
      <x:c r="D29" s="26" t="n">
        <x:v>209</x:v>
      </x:c>
      <x:c r="E29" s="26" t="n">
        <x:v>258.5</x:v>
      </x:c>
      <x:c r="F29" s="26" t="n">
        <x:v>-49.5</x:v>
      </x:c>
      <x:c r="G29" s="40" t="n">
        <x:v>7844.6</x:v>
      </x:c>
      <x:c r="H29" s="25" t="str">
        <x:v>Stage launch spending against account and spend milestones.</x:v>
      </x:c>
    </x:row>
    <x:row r="30">
      <x:c r="A30" s="25" t="str">
        <x:v>S09</x:v>
      </x:c>
      <x:c r="B30" s="25" t="str">
        <x:v>New Card / Membership Benefit Launch</x:v>
      </x:c>
      <x:c r="C30" s="25" t="str">
        <x:v>Base</x:v>
      </x:c>
      <x:c r="D30" s="26" t="n">
        <x:v>380</x:v>
      </x:c>
      <x:c r="E30" s="26" t="n">
        <x:v>470</x:v>
      </x:c>
      <x:c r="F30" s="26" t="n">
        <x:v>-90</x:v>
      </x:c>
      <x:c r="G30" s="40" t="n">
        <x:v>7804.1</x:v>
      </x:c>
      <x:c r="H30" s="25" t="str">
        <x:v>Stage launch spending against account and spend milestones.</x:v>
      </x:c>
    </x:row>
    <x:row r="31">
      <x:c r="A31" s="25" t="str">
        <x:v>S09</x:v>
      </x:c>
      <x:c r="B31" s="25" t="str">
        <x:v>New Card / Membership Benefit Launch</x:v>
      </x:c>
      <x:c r="C31" s="25" t="str">
        <x:v>High / Stress</x:v>
      </x:c>
      <x:c r="D31" s="26" t="n">
        <x:v>551</x:v>
      </x:c>
      <x:c r="E31" s="26" t="n">
        <x:v>681.5</x:v>
      </x:c>
      <x:c r="F31" s="26" t="n">
        <x:v>-130.5</x:v>
      </x:c>
      <x:c r="G31" s="40" t="n">
        <x:v>7763.6</x:v>
      </x:c>
      <x:c r="H31" s="25" t="str">
        <x:v>Stage launch spending against account and spend milestones.</x:v>
      </x:c>
    </x:row>
    <x:row r="32">
      <x:c r="A32" s="25" t="str">
        <x:v>S10</x:v>
      </x:c>
      <x:c r="B32" s="25" t="str">
        <x:v>Automation &amp; Cost Transformation</x:v>
      </x:c>
      <x:c r="C32" s="25" t="str">
        <x:v>Low</x:v>
      </x:c>
      <x:c r="D32" s="26" t="n">
        <x:v>22</x:v>
      </x:c>
      <x:c r="E32" s="26" t="n">
        <x:v>-170.5</x:v>
      </x:c>
      <x:c r="F32" s="26" t="n">
        <x:v>192.5</x:v>
      </x:c>
      <x:c r="G32" s="40" t="n">
        <x:v>8086.6</x:v>
      </x:c>
      <x:c r="H32" s="25" t="str">
        <x:v>Release funding by phase after adoption and service metrics hold.</x:v>
      </x:c>
    </x:row>
    <x:row r="33">
      <x:c r="A33" s="25" t="str">
        <x:v>S10</x:v>
      </x:c>
      <x:c r="B33" s="25" t="str">
        <x:v>Automation &amp; Cost Transformation</x:v>
      </x:c>
      <x:c r="C33" s="25" t="str">
        <x:v>Base</x:v>
      </x:c>
      <x:c r="D33" s="26" t="n">
        <x:v>40</x:v>
      </x:c>
      <x:c r="E33" s="26" t="n">
        <x:v>-310</x:v>
      </x:c>
      <x:c r="F33" s="26" t="n">
        <x:v>350</x:v>
      </x:c>
      <x:c r="G33" s="40" t="n">
        <x:v>8244.1</x:v>
      </x:c>
      <x:c r="H33" s="25" t="str">
        <x:v>Release funding by phase after adoption and service metrics hold.</x:v>
      </x:c>
    </x:row>
    <x:row r="34">
      <x:c r="A34" s="25" t="str">
        <x:v>S10</x:v>
      </x:c>
      <x:c r="B34" s="25" t="str">
        <x:v>Automation &amp; Cost Transformation</x:v>
      </x:c>
      <x:c r="C34" s="25" t="str">
        <x:v>High / Stress</x:v>
      </x:c>
      <x:c r="D34" s="26" t="n">
        <x:v>58</x:v>
      </x:c>
      <x:c r="E34" s="26" t="n">
        <x:v>-449.5</x:v>
      </x:c>
      <x:c r="F34" s="26" t="n">
        <x:v>507.5</x:v>
      </x:c>
      <x:c r="G34" s="40" t="n">
        <x:v>8401.6</x:v>
      </x:c>
      <x:c r="H34" s="25" t="str">
        <x:v>Release funding by phase after adoption and service metrics hold.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.630000114440918" hidden="0" customWidth="1"/>
    <x:col min="2" max="2" width="9.5" hidden="0" customWidth="1"/>
    <x:col min="3" max="3" width="38" hidden="0" customWidth="1"/>
    <x:col min="4" max="4" width="9.75" hidden="0" customWidth="1"/>
    <x:col min="5" max="5" width="8.880000114440918" hidden="0" customWidth="1"/>
    <x:col min="6" max="6" width="5.880000114440918" hidden="0" customWidth="1"/>
    <x:col min="7" max="7" width="7.5" hidden="0" customWidth="1"/>
    <x:col min="8" max="8" width="5.880000114440918" hidden="0" customWidth="1"/>
    <x:col min="9" max="9" width="6.880000114440918" hidden="0" customWidth="1"/>
    <x:col min="10" max="10" width="24" hidden="0" customWidth="1"/>
    <x:col min="11" max="11" width="7.380000114440918" hidden="0" customWidth="1"/>
    <x:col min="12" max="12" width="8.880000114440918" hidden="0" customWidth="1"/>
    <x:col min="13" max="13" width="50" hidden="0" customWidth="1"/>
  </x:cols>
  <x:sheetData>
    <x:row r="1" ht="30" customHeight="1">
      <x:c r="A1" s="15" t="str">
        <x:v>Risks &amp; Opportunities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R&amp;O items remain outside the booked forecast. Impacts are shown in USD millions.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ID</x:v>
      </x:c>
      <x:c r="B4" s="24" t="str">
        <x:v>Driver</x:v>
      </x:c>
      <x:c r="C4" s="24" t="str">
        <x:v>Description</x:v>
      </x:c>
      <x:c r="D4" s="24" t="str">
        <x:v>Type</x:v>
      </x:c>
      <x:c r="E4" s="24" t="str">
        <x:v>Probability</x:v>
      </x:c>
      <x:c r="F4" s="24" t="str">
        <x:v>Low</x:v>
      </x:c>
      <x:c r="G4" s="24" t="str">
        <x:v>Expected</x:v>
      </x:c>
      <x:c r="H4" s="24" t="str">
        <x:v>High</x:v>
      </x:c>
      <x:c r="I4" s="24" t="str">
        <x:v>Timing</x:v>
      </x:c>
      <x:c r="J4" s="24" t="str">
        <x:v>Owner</x:v>
      </x:c>
      <x:c r="K4" s="24" t="str">
        <x:v>P&amp;L line</x:v>
      </x:c>
      <x:c r="L4" s="24" t="str">
        <x:v>Status</x:v>
      </x:c>
      <x:c r="M4" s="24" t="str">
        <x:v>Management action</x:v>
      </x:c>
    </x:row>
    <x:row r="5">
      <x:c r="A5" s="25" t="str">
        <x:v>R01</x:v>
      </x:c>
      <x:c r="B5" s="25" t="str">
        <x:v>Spend</x:v>
      </x:c>
      <x:c r="C5" s="25" t="str">
        <x:v>Affluent spend decelerates in H2</x:v>
      </x:c>
      <x:c r="D5" s="25" t="str">
        <x:v>Risk</x:v>
      </x:c>
      <x:c r="E5" s="48" t="n">
        <x:v>0.35</x:v>
      </x:c>
      <x:c r="F5" s="26" t="n">
        <x:v>-600</x:v>
      </x:c>
      <x:c r="G5" s="26" t="n">
        <x:v>-350</x:v>
      </x:c>
      <x:c r="H5" s="26" t="n">
        <x:v>-150</x:v>
      </x:c>
      <x:c r="I5" s="25" t="str">
        <x:v>H2 2026</x:v>
      </x:c>
      <x:c r="J5" s="25" t="str">
        <x:v>Revenue FP&amp;A</x:v>
      </x:c>
      <x:c r="K5" s="25" t="str">
        <x:v>Revenue</x:v>
      </x:c>
      <x:c r="L5" s="25" t="str">
        <x:v>Open</x:v>
      </x:c>
      <x:c r="M5" s="25" t="str">
        <x:v>Gate acquisition growth to spend quality</x:v>
      </x:c>
    </x:row>
    <x:row r="6">
      <x:c r="A6" s="25" t="str">
        <x:v>R02</x:v>
      </x:c>
      <x:c r="B6" s="25" t="str">
        <x:v>Rewards</x:v>
      </x:c>
      <x:c r="C6" s="25" t="str">
        <x:v>Benefit and redemption costs exceed forecast</x:v>
      </x:c>
      <x:c r="D6" s="25" t="str">
        <x:v>Risk</x:v>
      </x:c>
      <x:c r="E6" s="48" t="n">
        <x:v>0.45</x:v>
      </x:c>
      <x:c r="F6" s="26" t="n">
        <x:v>-420</x:v>
      </x:c>
      <x:c r="G6" s="26" t="n">
        <x:v>-250</x:v>
      </x:c>
      <x:c r="H6" s="26" t="n">
        <x:v>-100</x:v>
      </x:c>
      <x:c r="I6" s="25" t="str">
        <x:v>H2 2026</x:v>
      </x:c>
      <x:c r="J6" s="25" t="str">
        <x:v>Membership Finance</x:v>
      </x:c>
      <x:c r="K6" s="25" t="str">
        <x:v>Rewards</x:v>
      </x:c>
      <x:c r="L6" s="25" t="str">
        <x:v>Open</x:v>
      </x:c>
      <x:c r="M6" s="25" t="str">
        <x:v>Renegotiate partner offsets and pace benefit rollout</x:v>
      </x:c>
    </x:row>
    <x:row r="7">
      <x:c r="A7" s="25" t="str">
        <x:v>R03</x:v>
      </x:c>
      <x:c r="B7" s="25" t="str">
        <x:v>Credit</x:v>
      </x:c>
      <x:c r="C7" s="25" t="str">
        <x:v>Loss rates rise from the Q2 2026 level</x:v>
      </x:c>
      <x:c r="D7" s="25" t="str">
        <x:v>Risk</x:v>
      </x:c>
      <x:c r="E7" s="48" t="n">
        <x:v>0.3</x:v>
      </x:c>
      <x:c r="F7" s="26" t="n">
        <x:v>-500</x:v>
      </x:c>
      <x:c r="G7" s="26" t="n">
        <x:v>-280</x:v>
      </x:c>
      <x:c r="H7" s="26" t="n">
        <x:v>-120</x:v>
      </x:c>
      <x:c r="I7" s="25" t="str">
        <x:v>H2 2026</x:v>
      </x:c>
      <x:c r="J7" s="25" t="str">
        <x:v>Credit Finance</x:v>
      </x:c>
      <x:c r="K7" s="25" t="str">
        <x:v>Provision</x:v>
      </x:c>
      <x:c r="L7" s="25" t="str">
        <x:v>Monitoring</x:v>
      </x:c>
      <x:c r="M7" s="25" t="str">
        <x:v>Tighten marginal growth and update economic overlay</x:v>
      </x:c>
    </x:row>
    <x:row r="8">
      <x:c r="A8" s="25" t="str">
        <x:v>O01</x:v>
      </x:c>
      <x:c r="B8" s="25" t="str">
        <x:v>Credit</x:v>
      </x:c>
      <x:c r="C8" s="25" t="str">
        <x:v>Lower losses persist</x:v>
      </x:c>
      <x:c r="D8" s="25" t="str">
        <x:v>Opportunity</x:v>
      </x:c>
      <x:c r="E8" s="48" t="n">
        <x:v>0.55</x:v>
      </x:c>
      <x:c r="F8" s="26" t="n">
        <x:v>120</x:v>
      </x:c>
      <x:c r="G8" s="26" t="n">
        <x:v>260</x:v>
      </x:c>
      <x:c r="H8" s="26" t="n">
        <x:v>420</x:v>
      </x:c>
      <x:c r="I8" s="25" t="str">
        <x:v>H2 2026</x:v>
      </x:c>
      <x:c r="J8" s="25" t="str">
        <x:v>Credit Finance</x:v>
      </x:c>
      <x:c r="K8" s="25" t="str">
        <x:v>Provision</x:v>
      </x:c>
      <x:c r="L8" s="25" t="str">
        <x:v>Monitoring</x:v>
      </x:c>
      <x:c r="M8" s="25" t="str">
        <x:v>Keep outside booked forecast until Q3 evidence</x:v>
      </x:c>
    </x:row>
    <x:row r="9">
      <x:c r="A9" s="25" t="str">
        <x:v>O02</x:v>
      </x:c>
      <x:c r="B9" s="25" t="str">
        <x:v>Fees</x:v>
      </x:c>
      <x:c r="C9" s="25" t="str">
        <x:v>Premium refresh lifts fee-paying accounts</x:v>
      </x:c>
      <x:c r="D9" s="25" t="str">
        <x:v>Opportunity</x:v>
      </x:c>
      <x:c r="E9" s="48" t="n">
        <x:v>0.45</x:v>
      </x:c>
      <x:c r="F9" s="26" t="n">
        <x:v>90</x:v>
      </x:c>
      <x:c r="G9" s="26" t="n">
        <x:v>190</x:v>
      </x:c>
      <x:c r="H9" s="26" t="n">
        <x:v>320</x:v>
      </x:c>
      <x:c r="I9" s="25" t="str">
        <x:v>H2 2026</x:v>
      </x:c>
      <x:c r="J9" s="25" t="str">
        <x:v>Portfolio Finance</x:v>
      </x:c>
      <x:c r="K9" s="25" t="str">
        <x:v>Revenue</x:v>
      </x:c>
      <x:c r="L9" s="25" t="str">
        <x:v>Open</x:v>
      </x:c>
      <x:c r="M9" s="25" t="str">
        <x:v>Track activation, retention and first-year contribution</x:v>
      </x:c>
    </x:row>
    <x:row r="10">
      <x:c r="A10" s="25" t="str">
        <x:v>O03</x:v>
      </x:c>
      <x:c r="B10" s="25" t="str">
        <x:v>Productivity</x:v>
      </x:c>
      <x:c r="C10" s="25" t="str">
        <x:v>Automation benefits arrive earlier</x:v>
      </x:c>
      <x:c r="D10" s="25" t="str">
        <x:v>Opportunity</x:v>
      </x:c>
      <x:c r="E10" s="48" t="n">
        <x:v>0.35</x:v>
      </x:c>
      <x:c r="F10" s="26" t="n">
        <x:v>80</x:v>
      </x:c>
      <x:c r="G10" s="26" t="n">
        <x:v>180</x:v>
      </x:c>
      <x:c r="H10" s="26" t="n">
        <x:v>300</x:v>
      </x:c>
      <x:c r="I10" s="25" t="str">
        <x:v>Q4 2026</x:v>
      </x:c>
      <x:c r="J10" s="25" t="str">
        <x:v>Technology Finance</x:v>
      </x:c>
      <x:c r="K10" s="25" t="str">
        <x:v>OpEx</x:v>
      </x:c>
      <x:c r="L10" s="25" t="str">
        <x:v>Open</x:v>
      </x:c>
      <x:c r="M10" s="25" t="str">
        <x:v>Release savings only after service metrics hold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2.75" hidden="0" customWidth="1"/>
    <x:col min="3" max="3" width="13.380000114440918" hidden="0" customWidth="1"/>
  </x:cols>
  <x:sheetData>
    <x:row r="1" ht="30" customHeight="1">
      <x:c r="A1" s="15" t="str">
        <x:v>Management KPI Library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Financial, customer, lending, marketing, membership and workforce measures.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Category</x:v>
      </x:c>
      <x:c r="B4" s="24" t="str">
        <x:v>KPI</x:v>
      </x:c>
      <x:c r="C4" s="24" t="str">
        <x:v>Classification</x:v>
      </x:c>
    </x:row>
    <x:row r="5">
      <x:c r="A5" s="25" t="str">
        <x:v>Financial</x:v>
      </x:c>
      <x:c r="B5" s="25" t="str">
        <x:v>Revenue</x:v>
      </x:c>
      <x:c r="C5" s="25" t="str">
        <x:v>MODEL_OUTPUT</x:v>
      </x:c>
    </x:row>
    <x:row r="6">
      <x:c r="A6" s="25" t="str">
        <x:v>Financial</x:v>
      </x:c>
      <x:c r="B6" s="25" t="str">
        <x:v>Revenue growth</x:v>
      </x:c>
      <x:c r="C6" s="25" t="str">
        <x:v>MODEL_OUTPUT</x:v>
      </x:c>
    </x:row>
    <x:row r="7">
      <x:c r="A7" s="25" t="str">
        <x:v>Financial</x:v>
      </x:c>
      <x:c r="B7" s="25" t="str">
        <x:v>NII</x:v>
      </x:c>
      <x:c r="C7" s="25" t="str">
        <x:v>MODEL_OUTPUT</x:v>
      </x:c>
    </x:row>
    <x:row r="8">
      <x:c r="A8" s="25" t="str">
        <x:v>Financial</x:v>
      </x:c>
      <x:c r="B8" s="25" t="str">
        <x:v>Provision</x:v>
      </x:c>
      <x:c r="C8" s="25" t="str">
        <x:v>MODEL_OUTPUT</x:v>
      </x:c>
    </x:row>
    <x:row r="9">
      <x:c r="A9" s="25" t="str">
        <x:v>Financial</x:v>
      </x:c>
      <x:c r="B9" s="25" t="str">
        <x:v>Expense growth</x:v>
      </x:c>
      <x:c r="C9" s="25" t="str">
        <x:v>MODEL_OUTPUT</x:v>
      </x:c>
    </x:row>
    <x:row r="10">
      <x:c r="A10" s="25" t="str">
        <x:v>Financial</x:v>
      </x:c>
      <x:c r="B10" s="25" t="str">
        <x:v>PTI</x:v>
      </x:c>
      <x:c r="C10" s="25" t="str">
        <x:v>MODEL_OUTPUT</x:v>
      </x:c>
    </x:row>
    <x:row r="11">
      <x:c r="A11" s="25" t="str">
        <x:v>Financial</x:v>
      </x:c>
      <x:c r="B11" s="25" t="str">
        <x:v>PTI margin</x:v>
      </x:c>
      <x:c r="C11" s="25" t="str">
        <x:v>MODEL_OUTPUT</x:v>
      </x:c>
    </x:row>
    <x:row r="12">
      <x:c r="A12" s="25" t="str">
        <x:v>Customer / Spend</x:v>
      </x:c>
      <x:c r="B12" s="25" t="str">
        <x:v>Billed Business</x:v>
      </x:c>
      <x:c r="C12" s="25" t="str">
        <x:v>MODEL_OUTPUT</x:v>
      </x:c>
    </x:row>
    <x:row r="13">
      <x:c r="A13" s="25" t="str">
        <x:v>Customer / Spend</x:v>
      </x:c>
      <x:c r="B13" s="25" t="str">
        <x:v>Spend per account</x:v>
      </x:c>
      <x:c r="C13" s="25" t="str">
        <x:v>MODEL_OUTPUT</x:v>
      </x:c>
    </x:row>
    <x:row r="14">
      <x:c r="A14" s="25" t="str">
        <x:v>Customer / Spend</x:v>
      </x:c>
      <x:c r="B14" s="25" t="str">
        <x:v>Cards / accounts</x:v>
      </x:c>
      <x:c r="C14" s="25" t="str">
        <x:v>MODEL_OUTPUT</x:v>
      </x:c>
    </x:row>
    <x:row r="15">
      <x:c r="A15" s="25" t="str">
        <x:v>Customer / Spend</x:v>
      </x:c>
      <x:c r="B15" s="25" t="str">
        <x:v>G&amp;S growth</x:v>
      </x:c>
      <x:c r="C15" s="25" t="str">
        <x:v>MODEL_OUTPUT</x:v>
      </x:c>
    </x:row>
    <x:row r="16">
      <x:c r="A16" s="25" t="str">
        <x:v>Customer / Spend</x:v>
      </x:c>
      <x:c r="B16" s="25" t="str">
        <x:v>T&amp;E growth</x:v>
      </x:c>
      <x:c r="C16" s="25" t="str">
        <x:v>MODEL_OUTPUT</x:v>
      </x:c>
    </x:row>
    <x:row r="17">
      <x:c r="A17" s="25" t="str">
        <x:v>Lending</x:v>
      </x:c>
      <x:c r="B17" s="25" t="str">
        <x:v>Card Member loans</x:v>
      </x:c>
      <x:c r="C17" s="25" t="str">
        <x:v>MODEL_OUTPUT</x:v>
      </x:c>
    </x:row>
    <x:row r="18">
      <x:c r="A18" s="25" t="str">
        <x:v>Lending</x:v>
      </x:c>
      <x:c r="B18" s="25" t="str">
        <x:v>Loan growth</x:v>
      </x:c>
      <x:c r="C18" s="25" t="str">
        <x:v>MODEL_OUTPUT</x:v>
      </x:c>
    </x:row>
    <x:row r="19">
      <x:c r="A19" s="25" t="str">
        <x:v>Lending</x:v>
      </x:c>
      <x:c r="B19" s="25" t="str">
        <x:v>Yield</x:v>
      </x:c>
      <x:c r="C19" s="25" t="str">
        <x:v>MODEL_OUTPUT</x:v>
      </x:c>
    </x:row>
    <x:row r="20">
      <x:c r="A20" s="25" t="str">
        <x:v>Lending</x:v>
      </x:c>
      <x:c r="B20" s="25" t="str">
        <x:v>Delinquency</x:v>
      </x:c>
      <x:c r="C20" s="25" t="str">
        <x:v>MODEL_OUTPUT</x:v>
      </x:c>
    </x:row>
    <x:row r="21">
      <x:c r="A21" s="25" t="str">
        <x:v>Lending</x:v>
      </x:c>
      <x:c r="B21" s="25" t="str">
        <x:v>Write-off rate</x:v>
      </x:c>
      <x:c r="C21" s="25" t="str">
        <x:v>MODEL_OUTPUT</x:v>
      </x:c>
    </x:row>
    <x:row r="22">
      <x:c r="A22" s="25" t="str">
        <x:v>Marketing</x:v>
      </x:c>
      <x:c r="B22" s="25" t="str">
        <x:v>Marketing spend</x:v>
      </x:c>
      <x:c r="C22" s="25" t="str">
        <x:v>MODEL_OUTPUT</x:v>
      </x:c>
    </x:row>
    <x:row r="23">
      <x:c r="A23" s="25" t="str">
        <x:v>Marketing</x:v>
      </x:c>
      <x:c r="B23" s="25" t="str">
        <x:v>New accounts</x:v>
      </x:c>
      <x:c r="C23" s="25" t="str">
        <x:v>MODEL_OUTPUT</x:v>
      </x:c>
    </x:row>
    <x:row r="24">
      <x:c r="A24" s="25" t="str">
        <x:v>Marketing</x:v>
      </x:c>
      <x:c r="B24" s="25" t="str">
        <x:v>CAC</x:v>
      </x:c>
      <x:c r="C24" s="25" t="str">
        <x:v>MODEL_OUTPUT</x:v>
      </x:c>
    </x:row>
    <x:row r="25">
      <x:c r="A25" s="25" t="str">
        <x:v>Marketing</x:v>
      </x:c>
      <x:c r="B25" s="25" t="str">
        <x:v>Conversion</x:v>
      </x:c>
      <x:c r="C25" s="25" t="str">
        <x:v>MODEL_OUTPUT</x:v>
      </x:c>
    </x:row>
    <x:row r="26">
      <x:c r="A26" s="25" t="str">
        <x:v>Marketing</x:v>
      </x:c>
      <x:c r="B26" s="25" t="str">
        <x:v>First-year contribution</x:v>
      </x:c>
      <x:c r="C26" s="25" t="str">
        <x:v>MODEL_OUTPUT</x:v>
      </x:c>
    </x:row>
    <x:row r="27">
      <x:c r="A27" s="25" t="str">
        <x:v>Marketing</x:v>
      </x:c>
      <x:c r="B27" s="25" t="str">
        <x:v>Payback</x:v>
      </x:c>
      <x:c r="C27" s="25" t="str">
        <x:v>MODEL_OUTPUT</x:v>
      </x:c>
    </x:row>
    <x:row r="28">
      <x:c r="A28" s="25" t="str">
        <x:v>Membership</x:v>
      </x:c>
      <x:c r="B28" s="25" t="str">
        <x:v>Rewards cost / billed business</x:v>
      </x:c>
      <x:c r="C28" s="25" t="str">
        <x:v>MODEL_OUTPUT</x:v>
      </x:c>
    </x:row>
    <x:row r="29">
      <x:c r="A29" s="25" t="str">
        <x:v>Membership</x:v>
      </x:c>
      <x:c r="B29" s="25" t="str">
        <x:v>Benefit cost / account</x:v>
      </x:c>
      <x:c r="C29" s="25" t="str">
        <x:v>MODEL_OUTPUT</x:v>
      </x:c>
    </x:row>
    <x:row r="30">
      <x:c r="A30" s="25" t="str">
        <x:v>Membership</x:v>
      </x:c>
      <x:c r="B30" s="25" t="str">
        <x:v>Retention rate proxy</x:v>
      </x:c>
      <x:c r="C30" s="25" t="str">
        <x:v>MODEL_OUTPUT</x:v>
      </x:c>
    </x:row>
    <x:row r="31">
      <x:c r="A31" s="25" t="str">
        <x:v>Workforce</x:v>
      </x:c>
      <x:c r="B31" s="25" t="str">
        <x:v>Headcount</x:v>
      </x:c>
      <x:c r="C31" s="25" t="str">
        <x:v>MODEL_OUTPUT</x:v>
      </x:c>
    </x:row>
    <x:row r="32">
      <x:c r="A32" s="25" t="str">
        <x:v>Workforce</x:v>
      </x:c>
      <x:c r="B32" s="25" t="str">
        <x:v>Hires</x:v>
      </x:c>
      <x:c r="C32" s="25" t="str">
        <x:v>MODEL_OUTPUT</x:v>
      </x:c>
    </x:row>
    <x:row r="33">
      <x:c r="A33" s="25" t="str">
        <x:v>Workforce</x:v>
      </x:c>
      <x:c r="B33" s="25" t="str">
        <x:v>Attrition</x:v>
      </x:c>
      <x:c r="C33" s="25" t="str">
        <x:v>MODEL_OUTPUT</x:v>
      </x:c>
    </x:row>
    <x:row r="34">
      <x:c r="A34" s="25" t="str">
        <x:v>Workforce</x:v>
      </x:c>
      <x:c r="B34" s="25" t="str">
        <x:v>Vacancies</x:v>
      </x:c>
      <x:c r="C34" s="25" t="str">
        <x:v>MODEL_OUTPUT</x:v>
      </x:c>
    </x:row>
    <x:row r="35">
      <x:c r="A35" s="25" t="str">
        <x:v>Workforce</x:v>
      </x:c>
      <x:c r="B35" s="25" t="str">
        <x:v>Loaded cost per employee</x:v>
      </x:c>
      <x:c r="C35" s="25" t="str">
        <x:v>MODEL_OUTPUT</x:v>
      </x:c>
    </x:row>
    <x:row r="36">
      <x:c r="A36" s="25" t="str">
        <x:v>Workforce</x:v>
      </x:c>
      <x:c r="B36" s="25" t="str">
        <x:v>OpEx per employee</x:v>
      </x:c>
      <x:c r="C36" s="25" t="str">
        <x:v>MODEL_OUTPUT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E7E6E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15" t="str">
        <x:v>Validation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24" customHeight="1">
      <x:c r="A2" s="18" t="str">
        <x:v>Terminal checks. No planning output depends on this sheet.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4" t="str">
        <x:v>Test</x:v>
      </x:c>
      <x:c r="B4" s="24" t="str">
        <x:v>Calculated value</x:v>
      </x:c>
      <x:c r="C4" s="24" t="str">
        <x:v>Control</x:v>
      </x:c>
      <x:c r="D4" s="24" t="str">
        <x:v>Status</x:v>
      </x:c>
    </x:row>
    <x:row r="5">
      <x:c r="A5" s="25" t="str">
        <x:v>FY2025 revenue reconciliation</x:v>
      </x:c>
      <x:c r="B5" s="40" t="n">
        <x:f>'2025 Actual'!N8</x:f>
        <x:v>34814</x:v>
      </x:c>
      <x:c r="C5" s="40" t="n">
        <x:v>34814</x:v>
      </x:c>
      <x:c r="D5" s="25" t="str">
        <x:f>IF(ABS(B5-C5)&lt;0.01,"PASS","FAIL")</x:f>
        <x:v>PASS</x:v>
      </x:c>
    </x:row>
    <x:row r="6">
      <x:c r="A6" s="25" t="str">
        <x:v>FY2025 PTI reconciliation</x:v>
      </x:c>
      <x:c r="B6" s="40" t="n">
        <x:f>'2025 Actual'!N14</x:f>
        <x:v>6810</x:v>
      </x:c>
      <x:c r="C6" s="40" t="n">
        <x:v>6810</x:v>
      </x:c>
      <x:c r="D6" s="25" t="str">
        <x:f>IF(ABS(B6-C6)&lt;0.01,"PASS","FAIL")</x:f>
        <x:v>PASS</x:v>
      </x:c>
    </x:row>
    <x:row r="7">
      <x:c r="A7" s="25" t="str">
        <x:v>AOP leakage cutoff</x:v>
      </x:c>
      <x:c r="B7" s="33" t="n">
        <x:f>MAX('Assumptions'!D5,'Assumptions'!D7:D13)</x:f>
        <x:v>45681</x:v>
      </x:c>
      <x:c r="C7" s="33" t="n">
        <x:v>45681</x:v>
      </x:c>
      <x:c r="D7" s="25" t="str">
        <x:f>IF(B7&lt;=C7,"PASS","FAIL")</x:f>
        <x:v>PASS</x:v>
      </x:c>
    </x:row>
    <x:row r="8">
      <x:c r="A8" s="25" t="str">
        <x:v>Monthly actual revenue tie</x:v>
      </x:c>
      <x:c r="B8" s="25" t="n">
        <x:f>SUM('2025 Actual'!B8:M8)</x:f>
        <x:v>34814</x:v>
      </x:c>
      <x:c r="C8" s="25" t="n">
        <x:f>'2025 Actual'!N8</x:f>
        <x:v>34814</x:v>
      </x:c>
      <x:c r="D8" s="25" t="str">
        <x:f>IF(ABS(B8-C8)&lt;0.01,"PASS","FAIL")</x:f>
        <x:v>PASS</x:v>
      </x:c>
    </x:row>
    <x:row r="9">
      <x:c r="A9" s="25" t="str">
        <x:v>PTI bridge tie</x:v>
      </x:c>
      <x:c r="B9" s="25" t="n">
        <x:f>SUMIFS('Variance Bridges'!C:C,'Variance Bridges'!A:A,"Pretax income",'Variance Bridges'!B:B,"Actual")</x:f>
        <x:v>6810</x:v>
      </x:c>
      <x:c r="C9" s="25" t="n">
        <x:v>6810</x:v>
      </x:c>
      <x:c r="D9" s="25" t="str">
        <x:f>IF(ABS(B9-C9)&lt;0.01,"PASS","FAIL")</x:f>
        <x:v>PASS</x:v>
      </x:c>
    </x:row>
  </x:sheetData>
  <x:mergeCells>
    <x:mergeCell ref="A1:N1"/>
    <x:mergeCell ref="A2:N2"/>
  </x:mergeCells>
  <x:pageMargins left="0.7" right="0.7" top="0.75" bottom="0.75" header="0.3" footer="0.3"/>
</x:worksheet>
</file>